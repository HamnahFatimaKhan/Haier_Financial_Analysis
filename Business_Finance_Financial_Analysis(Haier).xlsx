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G:\.shortcut-targets-by-id\10H14Efy2jwobcV6RfXi0xFjPb38b4ccl\Hamnah\MA&amp;PR\Pdf\Business Finance\"/>
    </mc:Choice>
  </mc:AlternateContent>
  <xr:revisionPtr revIDLastSave="0" documentId="13_ncr:1_{81A02595-D940-41AC-A7DC-D6C83F0B2DA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itle pg" sheetId="8" r:id="rId1"/>
    <sheet name="Financial Info Haier" sheetId="1" r:id="rId2"/>
    <sheet name="Ratios Cal Haier" sheetId="3" r:id="rId3"/>
    <sheet name="Graphs" sheetId="5" r:id="rId4"/>
    <sheet name="Analysis" sheetId="6" r:id="rId5"/>
    <sheet name="Recommendations" sheetId="7" r:id="rId6"/>
  </sheets>
  <calcPr calcId="191029"/>
</workbook>
</file>

<file path=xl/sharedStrings.xml><?xml version="1.0" encoding="utf-8"?>
<sst xmlns="http://schemas.openxmlformats.org/spreadsheetml/2006/main" count="133" uniqueCount="111">
  <si>
    <t>(A) LIQUIDITY RATIOS</t>
  </si>
  <si>
    <t>Ratio Type</t>
  </si>
  <si>
    <t>Formula</t>
  </si>
  <si>
    <t>Current Ratio</t>
  </si>
  <si>
    <t>Current Assets / Current Liabilities</t>
  </si>
  <si>
    <r>
      <rPr>
        <sz val="14"/>
        <color theme="1"/>
        <rFont val="Aptos Narrow"/>
        <charset val="134"/>
        <scheme val="minor"/>
      </rPr>
      <t>123916/125,016=</t>
    </r>
    <r>
      <rPr>
        <b/>
        <sz val="14"/>
        <color theme="1"/>
        <rFont val="Aptos Narrow"/>
        <charset val="134"/>
        <scheme val="minor"/>
      </rPr>
      <t xml:space="preserve"> 0.99</t>
    </r>
  </si>
  <si>
    <r>
      <rPr>
        <sz val="14"/>
        <color theme="1"/>
        <rFont val="Aptos Narrow"/>
        <charset val="134"/>
        <scheme val="minor"/>
      </rPr>
      <t>130383/118,747 =</t>
    </r>
    <r>
      <rPr>
        <b/>
        <sz val="14"/>
        <color theme="1"/>
        <rFont val="Aptos Narrow"/>
        <charset val="134"/>
        <scheme val="minor"/>
      </rPr>
      <t>1.09</t>
    </r>
  </si>
  <si>
    <r>
      <rPr>
        <sz val="14"/>
        <color theme="1"/>
        <rFont val="Aptos Narrow"/>
        <charset val="134"/>
        <scheme val="minor"/>
      </rPr>
      <t>138914/123,930=</t>
    </r>
    <r>
      <rPr>
        <b/>
        <sz val="14"/>
        <color theme="1"/>
        <rFont val="Aptos Narrow"/>
        <charset val="134"/>
        <scheme val="minor"/>
      </rPr>
      <t>1.12</t>
    </r>
  </si>
  <si>
    <r>
      <rPr>
        <sz val="14"/>
        <color theme="1"/>
        <rFont val="Aptos Narrow"/>
        <charset val="134"/>
        <scheme val="minor"/>
      </rPr>
      <t>151690/149,722=</t>
    </r>
    <r>
      <rPr>
        <b/>
        <sz val="14"/>
        <color theme="1"/>
        <rFont val="Aptos Narrow"/>
        <charset val="134"/>
        <scheme val="minor"/>
      </rPr>
      <t>1.01</t>
    </r>
  </si>
  <si>
    <t>Acid-Test Ratio</t>
  </si>
  <si>
    <t>(Current Assets − Inventory) / Current Liabilities</t>
  </si>
  <si>
    <r>
      <rPr>
        <sz val="14"/>
        <color theme="1"/>
        <rFont val="Aptos Narrow"/>
        <charset val="134"/>
        <scheme val="minor"/>
      </rPr>
      <t xml:space="preserve">123916-39,912/125,016= </t>
    </r>
    <r>
      <rPr>
        <b/>
        <sz val="14"/>
        <color theme="1"/>
        <rFont val="Aptos Narrow"/>
        <charset val="134"/>
        <scheme val="minor"/>
      </rPr>
      <t>0.67</t>
    </r>
  </si>
  <si>
    <r>
      <rPr>
        <sz val="14"/>
        <color theme="1"/>
        <rFont val="Aptos Narrow"/>
        <charset val="134"/>
        <scheme val="minor"/>
      </rPr>
      <t>130383-41,543/118,747 =</t>
    </r>
    <r>
      <rPr>
        <b/>
        <sz val="14"/>
        <color theme="1"/>
        <rFont val="Aptos Narrow"/>
        <charset val="134"/>
        <scheme val="minor"/>
      </rPr>
      <t>0.74</t>
    </r>
  </si>
  <si>
    <r>
      <rPr>
        <sz val="14"/>
        <color theme="1"/>
        <rFont val="Aptos Narrow"/>
        <charset val="134"/>
        <scheme val="minor"/>
      </rPr>
      <t>138914-39,525/123,930=</t>
    </r>
    <r>
      <rPr>
        <b/>
        <sz val="14"/>
        <color theme="1"/>
        <rFont val="Aptos Narrow"/>
        <charset val="134"/>
        <scheme val="minor"/>
      </rPr>
      <t>0.80</t>
    </r>
  </si>
  <si>
    <r>
      <rPr>
        <sz val="14"/>
        <color theme="1"/>
        <rFont val="Aptos Narrow"/>
        <charset val="134"/>
        <scheme val="minor"/>
      </rPr>
      <t>151690-43,044/149,722=</t>
    </r>
    <r>
      <rPr>
        <b/>
        <sz val="14"/>
        <color theme="1"/>
        <rFont val="Aptos Narrow"/>
        <charset val="134"/>
        <scheme val="minor"/>
      </rPr>
      <t>0.72</t>
    </r>
  </si>
  <si>
    <t>(B) LEVERAGE RATIOS</t>
  </si>
  <si>
    <t>Debt-to-Equity Ratio</t>
  </si>
  <si>
    <t>(Current Liabilities + Non-Current Liabilities) / Shareholders’ Equity</t>
  </si>
  <si>
    <r>
      <rPr>
        <sz val="14"/>
        <color theme="1"/>
        <rFont val="Aptos Narrow"/>
        <charset val="134"/>
        <scheme val="minor"/>
      </rPr>
      <t xml:space="preserve">(125016+11,450)/79,985= </t>
    </r>
    <r>
      <rPr>
        <b/>
        <sz val="14"/>
        <color theme="1"/>
        <rFont val="Aptos Narrow"/>
        <charset val="134"/>
        <scheme val="minor"/>
      </rPr>
      <t>1.70</t>
    </r>
  </si>
  <si>
    <r>
      <rPr>
        <sz val="14"/>
        <color theme="1"/>
        <rFont val="Aptos Narrow"/>
        <charset val="134"/>
        <scheme val="minor"/>
      </rPr>
      <t xml:space="preserve">(118,747 + 22,382) ÷ 93,423 = </t>
    </r>
    <r>
      <rPr>
        <b/>
        <sz val="14"/>
        <color theme="1"/>
        <rFont val="Aptos Narrow"/>
        <charset val="134"/>
        <scheme val="minor"/>
      </rPr>
      <t>1.51</t>
    </r>
  </si>
  <si>
    <r>
      <rPr>
        <sz val="14"/>
        <color theme="1"/>
        <rFont val="Aptos Narrow"/>
        <charset val="134"/>
        <scheme val="minor"/>
      </rPr>
      <t xml:space="preserve">(123,930 + 29,608) ÷ 101,266 = </t>
    </r>
    <r>
      <rPr>
        <b/>
        <sz val="14"/>
        <color theme="1"/>
        <rFont val="Aptos Narrow"/>
        <charset val="134"/>
        <scheme val="minor"/>
      </rPr>
      <t>1.52</t>
    </r>
  </si>
  <si>
    <r>
      <rPr>
        <sz val="14"/>
        <color theme="1"/>
        <rFont val="Aptos Narrow"/>
        <charset val="134"/>
        <scheme val="minor"/>
      </rPr>
      <t xml:space="preserve">(149,722 + 22,003) ÷ 111,366 = </t>
    </r>
    <r>
      <rPr>
        <b/>
        <sz val="14"/>
        <color theme="1"/>
        <rFont val="Aptos Narrow"/>
        <charset val="134"/>
        <scheme val="minor"/>
      </rPr>
      <t>1.54</t>
    </r>
  </si>
  <si>
    <t>Debt-to-Total Assets Ratio</t>
  </si>
  <si>
    <t>(Current + Non-Current Liabilities) / Total Assets</t>
  </si>
  <si>
    <r>
      <rPr>
        <sz val="14"/>
        <color theme="1"/>
        <rFont val="Aptos Narrow"/>
        <charset val="134"/>
        <scheme val="minor"/>
      </rPr>
      <t xml:space="preserve">(125,016 + 11,450) ÷ 205,266 → </t>
    </r>
    <r>
      <rPr>
        <b/>
        <sz val="14"/>
        <color theme="1"/>
        <rFont val="Aptos Narrow"/>
        <charset val="134"/>
        <scheme val="minor"/>
      </rPr>
      <t>0.63</t>
    </r>
  </si>
  <si>
    <r>
      <rPr>
        <sz val="14"/>
        <color theme="1"/>
        <rFont val="Aptos Narrow"/>
        <charset val="134"/>
        <scheme val="minor"/>
      </rPr>
      <t xml:space="preserve">(118,747 + 22,382) ÷ 235,843 → </t>
    </r>
    <r>
      <rPr>
        <b/>
        <sz val="14"/>
        <color theme="1"/>
        <rFont val="Aptos Narrow"/>
        <charset val="134"/>
        <scheme val="minor"/>
      </rPr>
      <t>0.60</t>
    </r>
  </si>
  <si>
    <r>
      <rPr>
        <sz val="14"/>
        <color theme="1"/>
        <rFont val="Aptos Narrow"/>
        <charset val="134"/>
        <scheme val="minor"/>
      </rPr>
      <t xml:space="preserve">(123,930 + 29,608) ÷ 261,068 → </t>
    </r>
    <r>
      <rPr>
        <b/>
        <sz val="14"/>
        <color theme="1"/>
        <rFont val="Aptos Narrow"/>
        <charset val="134"/>
        <scheme val="minor"/>
      </rPr>
      <t>0.59</t>
    </r>
  </si>
  <si>
    <r>
      <rPr>
        <sz val="14"/>
        <color theme="1"/>
        <rFont val="Aptos Narrow"/>
        <charset val="134"/>
        <scheme val="minor"/>
      </rPr>
      <t xml:space="preserve">(149,722 + 22,003) ÷ 290,114 → </t>
    </r>
    <r>
      <rPr>
        <b/>
        <sz val="14"/>
        <color theme="1"/>
        <rFont val="Aptos Narrow"/>
        <charset val="134"/>
        <scheme val="minor"/>
      </rPr>
      <t>0.59</t>
    </r>
  </si>
  <si>
    <t>Total Capitalization Ratio</t>
  </si>
  <si>
    <t>(Current + Non-Current Liabilities) / (Long-Term Liabilities + Owners’ Equity)</t>
  </si>
  <si>
    <r>
      <rPr>
        <sz val="14"/>
        <color theme="1"/>
        <rFont val="Aptos Narrow"/>
        <charset val="134"/>
        <scheme val="minor"/>
      </rPr>
      <t xml:space="preserve">(136,466) ÷ (11,450 + 79,985) → </t>
    </r>
    <r>
      <rPr>
        <b/>
        <sz val="14"/>
        <color theme="1"/>
        <rFont val="Aptos Narrow"/>
        <charset val="134"/>
        <scheme val="minor"/>
      </rPr>
      <t>1.44</t>
    </r>
  </si>
  <si>
    <r>
      <rPr>
        <sz val="14"/>
        <color theme="1"/>
        <rFont val="Aptos Narrow"/>
        <charset val="134"/>
        <scheme val="minor"/>
      </rPr>
      <t xml:space="preserve">(141,129) ÷ (22,382 + 93,423) → </t>
    </r>
    <r>
      <rPr>
        <b/>
        <sz val="14"/>
        <color theme="1"/>
        <rFont val="Aptos Narrow"/>
        <charset val="134"/>
        <scheme val="minor"/>
      </rPr>
      <t>1.25</t>
    </r>
  </si>
  <si>
    <r>
      <rPr>
        <sz val="14"/>
        <color theme="1"/>
        <rFont val="Aptos Narrow"/>
        <charset val="134"/>
        <scheme val="minor"/>
      </rPr>
      <t xml:space="preserve">(153,538) ÷ (29,608 + 101,266) → </t>
    </r>
    <r>
      <rPr>
        <b/>
        <sz val="14"/>
        <color theme="1"/>
        <rFont val="Aptos Narrow"/>
        <charset val="134"/>
        <scheme val="minor"/>
      </rPr>
      <t>1.18</t>
    </r>
  </si>
  <si>
    <r>
      <rPr>
        <sz val="14"/>
        <color theme="1"/>
        <rFont val="Aptos Narrow"/>
        <charset val="134"/>
        <scheme val="minor"/>
      </rPr>
      <t xml:space="preserve">(171,725) ÷ (22,003 + 111,366) → </t>
    </r>
    <r>
      <rPr>
        <b/>
        <sz val="14"/>
        <color theme="1"/>
        <rFont val="Aptos Narrow"/>
        <charset val="134"/>
        <scheme val="minor"/>
      </rPr>
      <t>1.27</t>
    </r>
  </si>
  <si>
    <t>(C) COVERAGE RATIO</t>
  </si>
  <si>
    <t>Interest Coverage Ratio</t>
  </si>
  <si>
    <t>EBIT / Interest Charges</t>
  </si>
  <si>
    <r>
      <rPr>
        <sz val="14"/>
        <color theme="1"/>
        <rFont val="Aptos Narrow"/>
        <charset val="134"/>
        <scheme val="minor"/>
      </rPr>
      <t xml:space="preserve">(15,937 + 714) ÷ 714 → </t>
    </r>
    <r>
      <rPr>
        <b/>
        <sz val="14"/>
        <color theme="1"/>
        <rFont val="Aptos Narrow"/>
        <charset val="134"/>
        <scheme val="minor"/>
      </rPr>
      <t>23.32×</t>
    </r>
  </si>
  <si>
    <r>
      <rPr>
        <sz val="14"/>
        <color theme="1"/>
        <rFont val="Aptos Narrow"/>
        <charset val="134"/>
        <scheme val="minor"/>
      </rPr>
      <t xml:space="preserve">(17,790 + 995) ÷ 995 → </t>
    </r>
    <r>
      <rPr>
        <b/>
        <sz val="14"/>
        <color theme="1"/>
        <rFont val="Aptos Narrow"/>
        <charset val="134"/>
        <scheme val="minor"/>
      </rPr>
      <t>18.88×</t>
    </r>
  </si>
  <si>
    <r>
      <rPr>
        <sz val="14"/>
        <color theme="1"/>
        <rFont val="Aptos Narrow"/>
        <charset val="134"/>
        <scheme val="minor"/>
      </rPr>
      <t xml:space="preserve">(20,211 + 2,165) ÷ 2,165 → </t>
    </r>
    <r>
      <rPr>
        <b/>
        <sz val="14"/>
        <color theme="1"/>
        <rFont val="Aptos Narrow"/>
        <charset val="134"/>
        <scheme val="minor"/>
      </rPr>
      <t>10.33×</t>
    </r>
  </si>
  <si>
    <r>
      <rPr>
        <sz val="14"/>
        <color theme="1"/>
        <rFont val="Aptos Narrow"/>
        <charset val="134"/>
        <scheme val="minor"/>
      </rPr>
      <t xml:space="preserve">(22,733 + 2,705) ÷ 2,705 → </t>
    </r>
    <r>
      <rPr>
        <b/>
        <sz val="14"/>
        <color theme="1"/>
        <rFont val="Aptos Narrow"/>
        <charset val="134"/>
        <scheme val="minor"/>
      </rPr>
      <t>9.41×</t>
    </r>
  </si>
  <si>
    <t>(D) ACTIVITY RATIOS</t>
  </si>
  <si>
    <t>Receivable Turnover</t>
  </si>
  <si>
    <t>Net Credit Sales / Accounts Receivable</t>
  </si>
  <si>
    <r>
      <rPr>
        <sz val="14"/>
        <color theme="1"/>
        <rFont val="Aptos Narrow"/>
        <charset val="134"/>
        <scheme val="minor"/>
      </rPr>
      <t xml:space="preserve">227,081 ÷ 27,980 → </t>
    </r>
    <r>
      <rPr>
        <b/>
        <sz val="14"/>
        <color theme="1"/>
        <rFont val="Aptos Narrow"/>
        <charset val="134"/>
        <scheme val="minor"/>
      </rPr>
      <t>8.12×</t>
    </r>
  </si>
  <si>
    <r>
      <rPr>
        <sz val="14"/>
        <color theme="1"/>
        <rFont val="Aptos Narrow"/>
        <charset val="134"/>
        <scheme val="minor"/>
      </rPr>
      <t xml:space="preserve">243,485 ÷ 25,494 → </t>
    </r>
    <r>
      <rPr>
        <b/>
        <sz val="14"/>
        <color theme="1"/>
        <rFont val="Aptos Narrow"/>
        <charset val="134"/>
        <scheme val="minor"/>
      </rPr>
      <t>9.55×</t>
    </r>
  </si>
  <si>
    <r>
      <rPr>
        <sz val="14"/>
        <color theme="1"/>
        <rFont val="Aptos Narrow"/>
        <charset val="134"/>
        <scheme val="minor"/>
      </rPr>
      <t xml:space="preserve">274,198 ÷ 31,473 → </t>
    </r>
    <r>
      <rPr>
        <b/>
        <sz val="14"/>
        <color theme="1"/>
        <rFont val="Aptos Narrow"/>
        <charset val="134"/>
        <scheme val="minor"/>
      </rPr>
      <t>8.71×</t>
    </r>
  </si>
  <si>
    <r>
      <rPr>
        <sz val="14"/>
        <color theme="1"/>
        <rFont val="Aptos Narrow"/>
        <charset val="134"/>
        <scheme val="minor"/>
      </rPr>
      <t xml:space="preserve">285,971 ÷ 38,592 → </t>
    </r>
    <r>
      <rPr>
        <b/>
        <sz val="14"/>
        <color theme="1"/>
        <rFont val="Aptos Narrow"/>
        <charset val="134"/>
        <scheme val="minor"/>
      </rPr>
      <t>7.41×</t>
    </r>
  </si>
  <si>
    <t>Payable Turnover</t>
  </si>
  <si>
    <t>Annual Credit Purchases / Accounts Payable</t>
  </si>
  <si>
    <r>
      <rPr>
        <sz val="14"/>
        <color theme="1"/>
        <rFont val="Aptos Narrow"/>
        <charset val="134"/>
        <scheme val="minor"/>
      </rPr>
      <t xml:space="preserve">157,528 ÷ 67,386 → </t>
    </r>
    <r>
      <rPr>
        <b/>
        <sz val="14"/>
        <color theme="1"/>
        <rFont val="Aptos Narrow"/>
        <charset val="134"/>
        <scheme val="minor"/>
      </rPr>
      <t>2.34×</t>
    </r>
  </si>
  <si>
    <r>
      <rPr>
        <sz val="14"/>
        <color theme="1"/>
        <rFont val="Aptos Narrow"/>
        <charset val="134"/>
        <scheme val="minor"/>
      </rPr>
      <t xml:space="preserve">168,919 ÷ 66,975 → </t>
    </r>
    <r>
      <rPr>
        <b/>
        <sz val="14"/>
        <color theme="1"/>
        <rFont val="Aptos Narrow"/>
        <charset val="134"/>
        <scheme val="minor"/>
      </rPr>
      <t>2.52×</t>
    </r>
  </si>
  <si>
    <r>
      <rPr>
        <sz val="14"/>
        <color theme="1"/>
        <rFont val="Aptos Narrow"/>
        <charset val="134"/>
        <scheme val="minor"/>
      </rPr>
      <t xml:space="preserve">200,557 ÷ 72,179 → </t>
    </r>
    <r>
      <rPr>
        <b/>
        <sz val="14"/>
        <color theme="1"/>
        <rFont val="Aptos Narrow"/>
        <charset val="134"/>
        <scheme val="minor"/>
      </rPr>
      <t>2.78×</t>
    </r>
  </si>
  <si>
    <r>
      <rPr>
        <sz val="14"/>
        <color theme="1"/>
        <rFont val="Aptos Narrow"/>
        <charset val="134"/>
        <scheme val="minor"/>
      </rPr>
      <t xml:space="preserve">208,128 ÷ 75,737 → </t>
    </r>
    <r>
      <rPr>
        <b/>
        <sz val="14"/>
        <color theme="1"/>
        <rFont val="Aptos Narrow"/>
        <charset val="134"/>
        <scheme val="minor"/>
      </rPr>
      <t>2.75×</t>
    </r>
  </si>
  <si>
    <t>Inventory Turnover</t>
  </si>
  <si>
    <t>Cost of Goods Sold / Inventory</t>
  </si>
  <si>
    <r>
      <rPr>
        <sz val="14"/>
        <color theme="1"/>
        <rFont val="Aptos Narrow"/>
        <charset val="134"/>
        <scheme val="minor"/>
      </rPr>
      <t xml:space="preserve">157,528 ÷ 39,912 → </t>
    </r>
    <r>
      <rPr>
        <b/>
        <sz val="14"/>
        <color theme="1"/>
        <rFont val="Aptos Narrow"/>
        <charset val="134"/>
        <scheme val="minor"/>
      </rPr>
      <t>3.95×</t>
    </r>
  </si>
  <si>
    <r>
      <rPr>
        <sz val="14"/>
        <color theme="1"/>
        <rFont val="Aptos Narrow"/>
        <charset val="134"/>
        <scheme val="minor"/>
      </rPr>
      <t xml:space="preserve">168,919 ÷ 41,543 → </t>
    </r>
    <r>
      <rPr>
        <b/>
        <sz val="14"/>
        <color theme="1"/>
        <rFont val="Aptos Narrow"/>
        <charset val="134"/>
        <scheme val="minor"/>
      </rPr>
      <t>4.07×</t>
    </r>
  </si>
  <si>
    <r>
      <rPr>
        <sz val="14"/>
        <color theme="1"/>
        <rFont val="Aptos Narrow"/>
        <charset val="134"/>
        <scheme val="minor"/>
      </rPr>
      <t xml:space="preserve">200,557 ÷ 39,525 → </t>
    </r>
    <r>
      <rPr>
        <b/>
        <sz val="14"/>
        <color theme="1"/>
        <rFont val="Aptos Narrow"/>
        <charset val="134"/>
        <scheme val="minor"/>
      </rPr>
      <t>5.07×</t>
    </r>
  </si>
  <si>
    <r>
      <rPr>
        <sz val="14"/>
        <color theme="1"/>
        <rFont val="Aptos Narrow"/>
        <charset val="134"/>
        <scheme val="minor"/>
      </rPr>
      <t xml:space="preserve">208,128 ÷ 43,044 → </t>
    </r>
    <r>
      <rPr>
        <b/>
        <sz val="14"/>
        <color theme="1"/>
        <rFont val="Aptos Narrow"/>
        <charset val="134"/>
        <scheme val="minor"/>
      </rPr>
      <t>4.83×</t>
    </r>
  </si>
  <si>
    <t>Total Asset Turnover</t>
  </si>
  <si>
    <t>Net Sales / Total Assets</t>
  </si>
  <si>
    <r>
      <rPr>
        <sz val="14"/>
        <color theme="1"/>
        <rFont val="Aptos Narrow"/>
        <charset val="134"/>
        <scheme val="minor"/>
      </rPr>
      <t xml:space="preserve">227,081 ÷ 205,266 → </t>
    </r>
    <r>
      <rPr>
        <b/>
        <sz val="14"/>
        <color theme="1"/>
        <rFont val="Aptos Narrow"/>
        <charset val="134"/>
        <scheme val="minor"/>
      </rPr>
      <t>1.11×</t>
    </r>
  </si>
  <si>
    <r>
      <rPr>
        <sz val="14"/>
        <color theme="1"/>
        <rFont val="Aptos Narrow"/>
        <charset val="134"/>
        <scheme val="minor"/>
      </rPr>
      <t xml:space="preserve">243,485 ÷ 235,843 → </t>
    </r>
    <r>
      <rPr>
        <b/>
        <sz val="14"/>
        <color theme="1"/>
        <rFont val="Aptos Narrow"/>
        <charset val="134"/>
        <scheme val="minor"/>
      </rPr>
      <t>1.03×</t>
    </r>
  </si>
  <si>
    <r>
      <rPr>
        <sz val="14"/>
        <color theme="1"/>
        <rFont val="Aptos Narrow"/>
        <charset val="134"/>
        <scheme val="minor"/>
      </rPr>
      <t xml:space="preserve">274,198 ÷ 261,068 → </t>
    </r>
    <r>
      <rPr>
        <b/>
        <sz val="14"/>
        <color theme="1"/>
        <rFont val="Aptos Narrow"/>
        <charset val="134"/>
        <scheme val="minor"/>
      </rPr>
      <t>1.05×</t>
    </r>
  </si>
  <si>
    <r>
      <rPr>
        <sz val="14"/>
        <color theme="1"/>
        <rFont val="Aptos Narrow"/>
        <charset val="134"/>
        <scheme val="minor"/>
      </rPr>
      <t xml:space="preserve">285,971 ÷ 290,114 → </t>
    </r>
    <r>
      <rPr>
        <b/>
        <sz val="14"/>
        <color theme="1"/>
        <rFont val="Aptos Narrow"/>
        <charset val="134"/>
        <scheme val="minor"/>
      </rPr>
      <t>0.99×</t>
    </r>
  </si>
  <si>
    <t>(E) PROFITABILITY RATIOS</t>
  </si>
  <si>
    <t>Gross Profit Margin</t>
  </si>
  <si>
    <t>Gross Profit / Sales Revenue × 100</t>
  </si>
  <si>
    <t>69,553 ÷ 227,081 → 30.6%</t>
  </si>
  <si>
    <r>
      <rPr>
        <sz val="14"/>
        <color theme="1"/>
        <rFont val="Aptos Narrow"/>
        <charset val="134"/>
        <scheme val="minor"/>
      </rPr>
      <t xml:space="preserve">74,566 ÷ 243,485 → </t>
    </r>
    <r>
      <rPr>
        <b/>
        <sz val="14"/>
        <color theme="1"/>
        <rFont val="Aptos Narrow"/>
        <charset val="134"/>
        <scheme val="minor"/>
      </rPr>
      <t>30.6%</t>
    </r>
  </si>
  <si>
    <r>
      <rPr>
        <sz val="14"/>
        <color theme="1"/>
        <rFont val="Aptos Narrow"/>
        <charset val="134"/>
        <scheme val="minor"/>
      </rPr>
      <t xml:space="preserve">73,641 ÷ 274,198 → </t>
    </r>
    <r>
      <rPr>
        <b/>
        <sz val="14"/>
        <color theme="1"/>
        <rFont val="Aptos Narrow"/>
        <charset val="134"/>
        <scheme val="minor"/>
      </rPr>
      <t>26.8%</t>
    </r>
  </si>
  <si>
    <r>
      <rPr>
        <sz val="14"/>
        <color theme="1"/>
        <rFont val="Aptos Narrow"/>
        <charset val="134"/>
        <scheme val="minor"/>
      </rPr>
      <t xml:space="preserve">77,843 ÷ 285,971 → </t>
    </r>
    <r>
      <rPr>
        <b/>
        <sz val="14"/>
        <color theme="1"/>
        <rFont val="Aptos Narrow"/>
        <charset val="134"/>
        <scheme val="minor"/>
      </rPr>
      <t>27.2%</t>
    </r>
  </si>
  <si>
    <t>Net Profit Margin</t>
  </si>
  <si>
    <t>Net Income / Net Sales × 100</t>
  </si>
  <si>
    <r>
      <rPr>
        <sz val="14"/>
        <color theme="1"/>
        <rFont val="Aptos Narrow"/>
        <charset val="134"/>
        <scheme val="minor"/>
      </rPr>
      <t xml:space="preserve">13,232 ÷ 227,081 → </t>
    </r>
    <r>
      <rPr>
        <b/>
        <sz val="14"/>
        <color theme="1"/>
        <rFont val="Aptos Narrow"/>
        <charset val="134"/>
        <scheme val="minor"/>
      </rPr>
      <t>5.8%</t>
    </r>
  </si>
  <si>
    <r>
      <rPr>
        <sz val="14"/>
        <color theme="1"/>
        <rFont val="Aptos Narrow"/>
        <charset val="134"/>
        <scheme val="minor"/>
      </rPr>
      <t xml:space="preserve">14,732 ÷ 243,485 → </t>
    </r>
    <r>
      <rPr>
        <b/>
        <sz val="14"/>
        <color theme="1"/>
        <rFont val="Aptos Narrow"/>
        <charset val="134"/>
        <scheme val="minor"/>
      </rPr>
      <t>6.0%</t>
    </r>
  </si>
  <si>
    <r>
      <rPr>
        <sz val="14"/>
        <color theme="1"/>
        <rFont val="Aptos Narrow"/>
        <charset val="134"/>
        <scheme val="minor"/>
      </rPr>
      <t xml:space="preserve">17,088 ÷ 274,198 → </t>
    </r>
    <r>
      <rPr>
        <b/>
        <sz val="14"/>
        <color theme="1"/>
        <rFont val="Aptos Narrow"/>
        <charset val="134"/>
        <scheme val="minor"/>
      </rPr>
      <t>6.2%</t>
    </r>
  </si>
  <si>
    <r>
      <rPr>
        <sz val="14"/>
        <color theme="1"/>
        <rFont val="Aptos Narrow"/>
        <charset val="134"/>
        <scheme val="minor"/>
      </rPr>
      <t xml:space="preserve">19,576 ÷ 285,971 → </t>
    </r>
    <r>
      <rPr>
        <b/>
        <sz val="14"/>
        <color theme="1"/>
        <rFont val="Aptos Narrow"/>
        <charset val="134"/>
        <scheme val="minor"/>
      </rPr>
      <t>6.8%</t>
    </r>
  </si>
  <si>
    <t>Return on Investment</t>
  </si>
  <si>
    <t>Net Income / Total Assets × 100</t>
  </si>
  <si>
    <r>
      <rPr>
        <sz val="14"/>
        <color theme="1"/>
        <rFont val="Aptos Narrow"/>
        <charset val="134"/>
        <scheme val="minor"/>
      </rPr>
      <t xml:space="preserve">13,232 ÷ 205,266 → </t>
    </r>
    <r>
      <rPr>
        <b/>
        <sz val="14"/>
        <color theme="1"/>
        <rFont val="Aptos Narrow"/>
        <charset val="134"/>
        <scheme val="minor"/>
      </rPr>
      <t>6.4%</t>
    </r>
  </si>
  <si>
    <r>
      <rPr>
        <sz val="14"/>
        <color theme="1"/>
        <rFont val="Aptos Narrow"/>
        <charset val="134"/>
        <scheme val="minor"/>
      </rPr>
      <t xml:space="preserve">14,732 ÷ 235,843 → </t>
    </r>
    <r>
      <rPr>
        <b/>
        <sz val="14"/>
        <color theme="1"/>
        <rFont val="Aptos Narrow"/>
        <charset val="134"/>
        <scheme val="minor"/>
      </rPr>
      <t>6.2%</t>
    </r>
  </si>
  <si>
    <r>
      <rPr>
        <sz val="14"/>
        <color theme="1"/>
        <rFont val="Aptos Narrow"/>
        <charset val="134"/>
        <scheme val="minor"/>
      </rPr>
      <t xml:space="preserve">17,088 ÷ 261,068 → </t>
    </r>
    <r>
      <rPr>
        <b/>
        <sz val="14"/>
        <color theme="1"/>
        <rFont val="Aptos Narrow"/>
        <charset val="134"/>
        <scheme val="minor"/>
      </rPr>
      <t>6.5%</t>
    </r>
  </si>
  <si>
    <r>
      <rPr>
        <sz val="14"/>
        <color theme="1"/>
        <rFont val="Aptos Narrow"/>
        <charset val="134"/>
        <scheme val="minor"/>
      </rPr>
      <t xml:space="preserve">19,576 ÷ 290,114 → </t>
    </r>
    <r>
      <rPr>
        <b/>
        <sz val="14"/>
        <color theme="1"/>
        <rFont val="Aptos Narrow"/>
        <charset val="134"/>
        <scheme val="minor"/>
      </rPr>
      <t>6.7%</t>
    </r>
  </si>
  <si>
    <t>Return on Equity</t>
  </si>
  <si>
    <t>Net Income / Owners’ Equity × 100</t>
  </si>
  <si>
    <r>
      <rPr>
        <sz val="14"/>
        <color theme="1"/>
        <rFont val="Aptos Narrow"/>
        <charset val="134"/>
        <scheme val="minor"/>
      </rPr>
      <t xml:space="preserve">13,232 ÷ 79,985 → </t>
    </r>
    <r>
      <rPr>
        <b/>
        <sz val="14"/>
        <color theme="1"/>
        <rFont val="Aptos Narrow"/>
        <charset val="134"/>
        <scheme val="minor"/>
      </rPr>
      <t>16.5%</t>
    </r>
  </si>
  <si>
    <r>
      <rPr>
        <sz val="14"/>
        <color theme="1"/>
        <rFont val="Aptos Narrow"/>
        <charset val="134"/>
        <scheme val="minor"/>
      </rPr>
      <t xml:space="preserve">14,732 ÷ 93,423 → </t>
    </r>
    <r>
      <rPr>
        <b/>
        <sz val="14"/>
        <color theme="1"/>
        <rFont val="Aptos Narrow"/>
        <charset val="134"/>
        <scheme val="minor"/>
      </rPr>
      <t>15.8%</t>
    </r>
  </si>
  <si>
    <r>
      <rPr>
        <sz val="14"/>
        <color theme="1"/>
        <rFont val="Aptos Narrow"/>
        <charset val="134"/>
        <scheme val="minor"/>
      </rPr>
      <t xml:space="preserve">17,088 ÷ 101,266 → </t>
    </r>
    <r>
      <rPr>
        <b/>
        <sz val="14"/>
        <color theme="1"/>
        <rFont val="Aptos Narrow"/>
        <charset val="134"/>
        <scheme val="minor"/>
      </rPr>
      <t>16.9%</t>
    </r>
  </si>
  <si>
    <r>
      <rPr>
        <sz val="14"/>
        <color theme="1"/>
        <rFont val="Aptos Narrow"/>
        <charset val="134"/>
        <scheme val="minor"/>
      </rPr>
      <t xml:space="preserve">19,576 ÷ 111,366 → </t>
    </r>
    <r>
      <rPr>
        <b/>
        <sz val="14"/>
        <color theme="1"/>
        <rFont val="Aptos Narrow"/>
        <charset val="134"/>
        <scheme val="minor"/>
      </rPr>
      <t>17.6%</t>
    </r>
  </si>
  <si>
    <t>(A) Liquidity Ratios</t>
  </si>
  <si>
    <t>Year</t>
  </si>
  <si>
    <t xml:space="preserve"> (B) Leverage Ratios</t>
  </si>
  <si>
    <t xml:space="preserve"> (C) Coverage Ratio</t>
  </si>
  <si>
    <t xml:space="preserve"> (D) Activity Ratios</t>
  </si>
  <si>
    <t xml:space="preserve"> (E) Profitability Ratios</t>
  </si>
  <si>
    <t>Gross Profit Margin (%)</t>
  </si>
  <si>
    <t>Net Profit Margin (%)</t>
  </si>
  <si>
    <t>Return on Investment (%)</t>
  </si>
  <si>
    <t>Return on Equity (%)</t>
  </si>
  <si>
    <t>ASSIGNMENT 2</t>
  </si>
  <si>
    <t>SUBMITTED BY:</t>
  </si>
  <si>
    <t>HAMNAH FATIMA KHAN (FA24-BBD-031)</t>
  </si>
  <si>
    <t>NOOR UL AIN ZAHID (FA24-BBD-069)</t>
  </si>
  <si>
    <t>SUBMITTED TO:</t>
  </si>
  <si>
    <t>PROF. SADIA UMAR AHMAD</t>
  </si>
  <si>
    <t>MEHAK FATIMA  (FA24-BBD-049)</t>
  </si>
  <si>
    <t>HAIER FINANCIAL STATEMENTS ANALYSIS</t>
  </si>
  <si>
    <r>
      <rPr>
        <b/>
        <i/>
        <u/>
        <sz val="22"/>
        <color theme="7" tint="-0.499984740745262"/>
        <rFont val="Aptos Narrow"/>
        <family val="2"/>
        <scheme val="minor"/>
      </rPr>
      <t>TOPIC:</t>
    </r>
    <r>
      <rPr>
        <b/>
        <i/>
        <u/>
        <sz val="22"/>
        <color theme="1"/>
        <rFont val="Aptos Narrow"/>
        <family val="2"/>
        <scheme val="minor"/>
      </rPr>
      <t xml:space="preserve"> </t>
    </r>
  </si>
  <si>
    <t>BUSINESS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</si>
</sst>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24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4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22"/>
      <color theme="7" tint="-0.499984740745262"/>
      <name val="Aptos Narrow"/>
      <family val="2"/>
      <scheme val="minor"/>
    </font>
    <font>
      <b/>
      <i/>
      <u/>
      <sz val="22"/>
      <color theme="7" tint="-0.499984740745262"/>
      <name val="Aptos Narrow"/>
      <family val="2"/>
      <scheme val="minor"/>
    </font>
    <font>
      <b/>
      <sz val="24"/>
      <color theme="7" tint="-0.499984740745262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2"/>
      <color theme="7" tint="-0.499984740745262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i/>
      <u/>
      <sz val="2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" xfId="0" applyBorder="1"/>
    <xf numFmtId="0" fontId="3" fillId="0" borderId="2" xfId="0" applyFont="1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9" xfId="0" applyBorder="1"/>
    <xf numFmtId="0" fontId="0" fillId="0" borderId="17" xfId="0" applyBorder="1"/>
    <xf numFmtId="0" fontId="0" fillId="0" borderId="18" xfId="0" applyBorder="1"/>
    <xf numFmtId="0" fontId="7" fillId="0" borderId="0" xfId="0" applyFont="1"/>
    <xf numFmtId="0" fontId="1" fillId="3" borderId="1" xfId="0" applyFont="1" applyFill="1" applyBorder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3" fontId="5" fillId="3" borderId="5" xfId="0" applyNumberFormat="1" applyFont="1" applyFill="1" applyBorder="1"/>
    <xf numFmtId="3" fontId="5" fillId="3" borderId="6" xfId="0" applyNumberFormat="1" applyFont="1" applyFill="1" applyBorder="1"/>
    <xf numFmtId="0" fontId="1" fillId="4" borderId="1" xfId="0" applyFont="1" applyFill="1" applyBorder="1" applyAlignment="1">
      <alignment vertic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5" fillId="4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3" fontId="5" fillId="4" borderId="5" xfId="0" applyNumberFormat="1" applyFont="1" applyFill="1" applyBorder="1"/>
    <xf numFmtId="0" fontId="5" fillId="4" borderId="5" xfId="0" applyFont="1" applyFill="1" applyBorder="1"/>
    <xf numFmtId="0" fontId="5" fillId="4" borderId="6" xfId="0" applyFont="1" applyFill="1" applyBorder="1"/>
    <xf numFmtId="0" fontId="5" fillId="4" borderId="7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8" xfId="0" applyFont="1" applyFill="1" applyBorder="1"/>
    <xf numFmtId="0" fontId="5" fillId="4" borderId="9" xfId="0" applyFont="1" applyFill="1" applyBorder="1"/>
    <xf numFmtId="0" fontId="1" fillId="5" borderId="1" xfId="0" applyFont="1" applyFill="1" applyBorder="1" applyAlignment="1">
      <alignment vertical="center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5" fillId="5" borderId="7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vertical="center" wrapText="1"/>
    </xf>
    <xf numFmtId="0" fontId="5" fillId="5" borderId="8" xfId="0" applyFont="1" applyFill="1" applyBorder="1"/>
    <xf numFmtId="0" fontId="5" fillId="5" borderId="9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5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5" xfId="0" applyFont="1" applyFill="1" applyBorder="1"/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8" xfId="0" applyFont="1" applyFill="1" applyBorder="1"/>
    <xf numFmtId="0" fontId="0" fillId="2" borderId="3" xfId="0" applyFill="1" applyBorder="1"/>
    <xf numFmtId="0" fontId="0" fillId="2" borderId="6" xfId="0" applyFill="1" applyBorder="1"/>
    <xf numFmtId="0" fontId="5" fillId="2" borderId="6" xfId="0" applyFont="1" applyFill="1" applyBorder="1"/>
    <xf numFmtId="0" fontId="5" fillId="2" borderId="9" xfId="0" applyFont="1" applyFill="1" applyBorder="1"/>
    <xf numFmtId="0" fontId="1" fillId="6" borderId="1" xfId="0" applyFont="1" applyFill="1" applyBorder="1" applyAlignment="1">
      <alignment vertical="center"/>
    </xf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5" fillId="6" borderId="4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5" fillId="6" borderId="5" xfId="0" applyFont="1" applyFill="1" applyBorder="1"/>
    <xf numFmtId="0" fontId="5" fillId="6" borderId="6" xfId="0" applyFont="1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8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6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Current Ratio</a:t>
            </a:r>
          </a:p>
        </c:rich>
      </c:tx>
      <c:layout>
        <c:manualLayout>
          <c:xMode val="edge"/>
          <c:yMode val="edge"/>
          <c:x val="0.38335254809609898"/>
          <c:y val="3.06576796481689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Graphs!$C$5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Graphs!$B$6:$B$9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Graphs!$C$6:$C$9</c:f>
              <c:numCache>
                <c:formatCode>General</c:formatCode>
                <c:ptCount val="4"/>
                <c:pt idx="0">
                  <c:v>0.99</c:v>
                </c:pt>
                <c:pt idx="1">
                  <c:v>1.0900000000000001</c:v>
                </c:pt>
                <c:pt idx="2">
                  <c:v>1.1200000000000001</c:v>
                </c:pt>
                <c:pt idx="3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65-4D61-9827-BC71957CC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345232"/>
        <c:axId val="576350032"/>
      </c:lineChart>
      <c:catAx>
        <c:axId val="576345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49623940683754098"/>
              <c:y val="0.84620064043168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50032"/>
        <c:crosses val="autoZero"/>
        <c:auto val="1"/>
        <c:lblAlgn val="ctr"/>
        <c:lblOffset val="100"/>
        <c:noMultiLvlLbl val="0"/>
      </c:catAx>
      <c:valAx>
        <c:axId val="57635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Current Ratio</a:t>
                </a:r>
              </a:p>
            </c:rich>
          </c:tx>
          <c:layout>
            <c:manualLayout>
              <c:xMode val="edge"/>
              <c:yMode val="edge"/>
              <c:x val="8.3270043000999897E-2"/>
              <c:y val="0.1881560773619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452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ccfe55-89e0-41ee-89fb-df8cc4d71c9e}"/>
      </c:ext>
    </c:extLst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Acid-Test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Graphs!$D$5</c:f>
              <c:strCache>
                <c:ptCount val="1"/>
                <c:pt idx="0">
                  <c:v>Acid-Test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Graphs!$B$6:$B$9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Graphs!$D$6:$D$9</c:f>
              <c:numCache>
                <c:formatCode>General</c:formatCode>
                <c:ptCount val="4"/>
                <c:pt idx="0">
                  <c:v>0.67</c:v>
                </c:pt>
                <c:pt idx="1">
                  <c:v>0.74</c:v>
                </c:pt>
                <c:pt idx="2">
                  <c:v>0.8</c:v>
                </c:pt>
                <c:pt idx="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6-4305-83DA-764CBD1F4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344752"/>
        <c:axId val="576351472"/>
      </c:lineChart>
      <c:catAx>
        <c:axId val="576344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2680672498483705"/>
              <c:y val="0.87708367803610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51472"/>
        <c:crosses val="autoZero"/>
        <c:auto val="1"/>
        <c:lblAlgn val="ctr"/>
        <c:lblOffset val="100"/>
        <c:noMultiLvlLbl val="0"/>
      </c:catAx>
      <c:valAx>
        <c:axId val="57635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Acid-Test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44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f1489e-3ae4-4499-b9cf-6fec1a712551}"/>
      </c:ext>
    </c:extLst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Debt-to-Equity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Graphs!$C$14</c:f>
              <c:strCache>
                <c:ptCount val="1"/>
                <c:pt idx="0">
                  <c:v>Debt-to-Equity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Graphs!$B$15:$B$18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Graphs!$C$15:$C$18</c:f>
              <c:numCache>
                <c:formatCode>General</c:formatCode>
                <c:ptCount val="4"/>
                <c:pt idx="0">
                  <c:v>1.7</c:v>
                </c:pt>
                <c:pt idx="1">
                  <c:v>1.51</c:v>
                </c:pt>
                <c:pt idx="2">
                  <c:v>1.52</c:v>
                </c:pt>
                <c:pt idx="3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47-4CBD-9699-FAA3F347A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350512"/>
        <c:axId val="576334192"/>
      </c:lineChart>
      <c:catAx>
        <c:axId val="576350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0166863744457557"/>
              <c:y val="0.86660404702024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34192"/>
        <c:crosses val="autoZero"/>
        <c:auto val="1"/>
        <c:lblAlgn val="ctr"/>
        <c:lblOffset val="100"/>
        <c:noMultiLvlLbl val="0"/>
      </c:catAx>
      <c:valAx>
        <c:axId val="5763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Debt-to-Equity </a:t>
                </a:r>
              </a:p>
            </c:rich>
          </c:tx>
          <c:layout>
            <c:manualLayout>
              <c:xMode val="edge"/>
              <c:yMode val="edge"/>
              <c:x val="0.16010874194394986"/>
              <c:y val="0.170287888571763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50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bde23f-0bf8-4fd4-a4c3-156f25c72cb1}"/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Debt-to-Total Assets Ratio</a:t>
            </a:r>
          </a:p>
        </c:rich>
      </c:tx>
      <c:layout>
        <c:manualLayout>
          <c:xMode val="edge"/>
          <c:yMode val="edge"/>
          <c:x val="0.27544870026819901"/>
          <c:y val="4.1175033880244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Graphs!$D$14</c:f>
              <c:strCache>
                <c:ptCount val="1"/>
                <c:pt idx="0">
                  <c:v>Debt-to-Total Assets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Graphs!$B$15:$B$18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Graphs!$D$15:$D$18</c:f>
              <c:numCache>
                <c:formatCode>General</c:formatCode>
                <c:ptCount val="4"/>
                <c:pt idx="0">
                  <c:v>0.63</c:v>
                </c:pt>
                <c:pt idx="1">
                  <c:v>0.6</c:v>
                </c:pt>
                <c:pt idx="2">
                  <c:v>0.59</c:v>
                </c:pt>
                <c:pt idx="3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02-4ED8-8C34-4F68C47EC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356272"/>
        <c:axId val="576356752"/>
      </c:lineChart>
      <c:catAx>
        <c:axId val="576356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2791704616493396"/>
              <c:y val="0.80425604737303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56752"/>
        <c:crosses val="autoZero"/>
        <c:auto val="1"/>
        <c:lblAlgn val="ctr"/>
        <c:lblOffset val="100"/>
        <c:noMultiLvlLbl val="0"/>
      </c:catAx>
      <c:valAx>
        <c:axId val="57635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Debt-to-Total Assets 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16471560215455217"/>
              <c:y val="0.164383703931547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562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593ce02-5e56-487c-822a-08d63879ada9}"/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Total Capitalization Ratio</a:t>
            </a:r>
          </a:p>
        </c:rich>
      </c:tx>
      <c:layout>
        <c:manualLayout>
          <c:xMode val="edge"/>
          <c:yMode val="edge"/>
          <c:x val="0.30251518844567099"/>
          <c:y val="4.0572854630443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Graphs!$E$14</c:f>
              <c:strCache>
                <c:ptCount val="1"/>
                <c:pt idx="0">
                  <c:v>Total Capitalization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Graphs!$B$15:$B$18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Graphs!$E$15:$E$18</c:f>
              <c:numCache>
                <c:formatCode>General</c:formatCode>
                <c:ptCount val="4"/>
                <c:pt idx="0">
                  <c:v>1.44</c:v>
                </c:pt>
                <c:pt idx="1">
                  <c:v>1.25</c:v>
                </c:pt>
                <c:pt idx="2">
                  <c:v>1.18</c:v>
                </c:pt>
                <c:pt idx="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F-4396-AE9B-23E284DEC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773919"/>
        <c:axId val="1128790719"/>
      </c:lineChart>
      <c:catAx>
        <c:axId val="1128773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57918462905859602"/>
              <c:y val="0.814023886126442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719"/>
        <c:crosses val="autoZero"/>
        <c:auto val="1"/>
        <c:lblAlgn val="ctr"/>
        <c:lblOffset val="100"/>
        <c:noMultiLvlLbl val="0"/>
      </c:catAx>
      <c:valAx>
        <c:axId val="11287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Capitalization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14000649343069699"/>
              <c:y val="5.68019964826209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73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163634-8f32-4195-8622-a46549f92108}"/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Interest Coverage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Graphs!$C$23</c:f>
              <c:strCache>
                <c:ptCount val="1"/>
                <c:pt idx="0">
                  <c:v>Interest Coverage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Graphs!$B$24:$B$27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Graphs!$C$24:$C$27</c:f>
              <c:numCache>
                <c:formatCode>General</c:formatCode>
                <c:ptCount val="4"/>
                <c:pt idx="0">
                  <c:v>23.32</c:v>
                </c:pt>
                <c:pt idx="1">
                  <c:v>18.88</c:v>
                </c:pt>
                <c:pt idx="2">
                  <c:v>10.33</c:v>
                </c:pt>
                <c:pt idx="3">
                  <c:v>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0-49F8-BB3B-91A517DF0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342832"/>
        <c:axId val="576348112"/>
      </c:lineChart>
      <c:catAx>
        <c:axId val="57634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2910151237406899"/>
              <c:y val="0.868430013492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48112"/>
        <c:crosses val="autoZero"/>
        <c:auto val="1"/>
        <c:lblAlgn val="ctr"/>
        <c:lblOffset val="100"/>
        <c:noMultiLvlLbl val="0"/>
      </c:catAx>
      <c:valAx>
        <c:axId val="57634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Interest Coverage 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147865012912855"/>
              <c:y val="0.1295829057112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42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cef2f62-8935-4e60-b08a-9ccd24e3e243}"/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Receivable Turnover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Graphs!$C$32</c:f>
              <c:strCache>
                <c:ptCount val="1"/>
                <c:pt idx="0">
                  <c:v>Receivable 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Graphs!$B$33:$B$36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Graphs!$C$33:$C$36</c:f>
              <c:numCache>
                <c:formatCode>General</c:formatCode>
                <c:ptCount val="4"/>
                <c:pt idx="0">
                  <c:v>8.1199999999999992</c:v>
                </c:pt>
                <c:pt idx="1">
                  <c:v>9.5500000000000007</c:v>
                </c:pt>
                <c:pt idx="2">
                  <c:v>8.7100000000000009</c:v>
                </c:pt>
                <c:pt idx="3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7B-41F3-BA01-FCC4A84B4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777759"/>
        <c:axId val="1128794559"/>
      </c:lineChart>
      <c:catAx>
        <c:axId val="1128777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0257274871794699"/>
              <c:y val="0.84436302662067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4559"/>
        <c:crosses val="autoZero"/>
        <c:auto val="1"/>
        <c:lblAlgn val="ctr"/>
        <c:lblOffset val="100"/>
        <c:noMultiLvlLbl val="0"/>
      </c:catAx>
      <c:valAx>
        <c:axId val="112879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Interest Coverage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1432643727100322"/>
              <c:y val="0.21846726942932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77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0ded4d3-adff-47e4-bbec-11d90f1f2183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Payable Turnover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Graphs!$D$32</c:f>
              <c:strCache>
                <c:ptCount val="1"/>
                <c:pt idx="0">
                  <c:v>Payable 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Graphs!$B$33:$B$36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Graphs!$D$33:$D$36</c:f>
              <c:numCache>
                <c:formatCode>General</c:formatCode>
                <c:ptCount val="4"/>
                <c:pt idx="0">
                  <c:v>2.34</c:v>
                </c:pt>
                <c:pt idx="1">
                  <c:v>2.52</c:v>
                </c:pt>
                <c:pt idx="2">
                  <c:v>2.78</c:v>
                </c:pt>
                <c:pt idx="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8D-45F1-BFDA-37FD88A40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342352"/>
        <c:axId val="576332752"/>
      </c:lineChart>
      <c:catAx>
        <c:axId val="57634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3218357352347601"/>
              <c:y val="0.84685452385636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32752"/>
        <c:crosses val="autoZero"/>
        <c:auto val="1"/>
        <c:lblAlgn val="ctr"/>
        <c:lblOffset val="100"/>
        <c:noMultiLvlLbl val="0"/>
      </c:catAx>
      <c:valAx>
        <c:axId val="57633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Payable Turnover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11322123253128109"/>
              <c:y val="0.194643146795233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423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f3c0aa3-d817-475a-b303-99e1c7556afe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Inventory Turnover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Graphs!$E$32</c:f>
              <c:strCache>
                <c:ptCount val="1"/>
                <c:pt idx="0">
                  <c:v>Inventory 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Graphs!$B$33:$B$36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Graphs!$E$33:$E$36</c:f>
              <c:numCache>
                <c:formatCode>General</c:formatCode>
                <c:ptCount val="4"/>
                <c:pt idx="0">
                  <c:v>3.95</c:v>
                </c:pt>
                <c:pt idx="1">
                  <c:v>4.07</c:v>
                </c:pt>
                <c:pt idx="2">
                  <c:v>5.07</c:v>
                </c:pt>
                <c:pt idx="3">
                  <c:v>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E7-4A5B-A4CE-EDA020B1B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562319"/>
        <c:axId val="1124568079"/>
      </c:lineChart>
      <c:catAx>
        <c:axId val="1124562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4625707583379601"/>
              <c:y val="0.825233986047849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68079"/>
        <c:crosses val="autoZero"/>
        <c:auto val="1"/>
        <c:lblAlgn val="ctr"/>
        <c:lblOffset val="100"/>
        <c:noMultiLvlLbl val="0"/>
      </c:catAx>
      <c:valAx>
        <c:axId val="112456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Inventory Turnover</a:t>
                </a:r>
              </a:p>
            </c:rich>
          </c:tx>
          <c:layout>
            <c:manualLayout>
              <c:xMode val="edge"/>
              <c:yMode val="edge"/>
              <c:x val="0.1510180779683705"/>
              <c:y val="0.20361104293626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62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02c226f-93e5-4d22-a03d-a4fd2bf6bd79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Total Asset Turnover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Graphs!$F$32</c:f>
              <c:strCache>
                <c:ptCount val="1"/>
                <c:pt idx="0">
                  <c:v>Total Asset 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Graphs!$B$33:$B$36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Graphs!$F$33:$F$36</c:f>
              <c:numCache>
                <c:formatCode>General</c:formatCode>
                <c:ptCount val="4"/>
                <c:pt idx="0">
                  <c:v>1.1100000000000001</c:v>
                </c:pt>
                <c:pt idx="1">
                  <c:v>1.03</c:v>
                </c:pt>
                <c:pt idx="2">
                  <c:v>1.05</c:v>
                </c:pt>
                <c:pt idx="3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0B-43BC-B7F4-4DD327754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802239"/>
        <c:axId val="1128802719"/>
      </c:lineChart>
      <c:catAx>
        <c:axId val="1128802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4092497447562005"/>
              <c:y val="0.84325110088827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02719"/>
        <c:crosses val="autoZero"/>
        <c:auto val="1"/>
        <c:lblAlgn val="ctr"/>
        <c:lblOffset val="100"/>
        <c:noMultiLvlLbl val="0"/>
      </c:catAx>
      <c:valAx>
        <c:axId val="11288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Asset Turnover</a:t>
                </a:r>
              </a:p>
            </c:rich>
          </c:tx>
          <c:layout>
            <c:manualLayout>
              <c:xMode val="edge"/>
              <c:yMode val="edge"/>
              <c:x val="0.12662669519517472"/>
              <c:y val="0.16588838010608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02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15b5fec-c27f-4d38-b8d8-801a2b447779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Gross Profit Margin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Graphs!$C$41</c:f>
              <c:strCache>
                <c:ptCount val="1"/>
                <c:pt idx="0">
                  <c:v>Gross Profit Margin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Graphs!$B$42:$B$45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Graphs!$C$42:$C$45</c:f>
              <c:numCache>
                <c:formatCode>General</c:formatCode>
                <c:ptCount val="4"/>
                <c:pt idx="0">
                  <c:v>30.6</c:v>
                </c:pt>
                <c:pt idx="1">
                  <c:v>30.6</c:v>
                </c:pt>
                <c:pt idx="2">
                  <c:v>26.8</c:v>
                </c:pt>
                <c:pt idx="3">
                  <c:v>27.2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BD-4F66-AAAB-AE3B39583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184080"/>
        <c:axId val="844186000"/>
      </c:lineChart>
      <c:catAx>
        <c:axId val="84418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0495262611404301"/>
              <c:y val="0.85219522587524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86000"/>
        <c:crosses val="autoZero"/>
        <c:auto val="1"/>
        <c:lblAlgn val="ctr"/>
        <c:lblOffset val="100"/>
        <c:noMultiLvlLbl val="0"/>
      </c:catAx>
      <c:valAx>
        <c:axId val="8441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Gross Profit Margin </a:t>
                </a:r>
              </a:p>
            </c:rich>
          </c:tx>
          <c:layout>
            <c:manualLayout>
              <c:xMode val="edge"/>
              <c:yMode val="edge"/>
              <c:x val="0.17015623727723059"/>
              <c:y val="0.158908730849798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84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c718ce-9646-45c9-af0a-47430d1d0a54}"/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Net Profit Margin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Graphs!$D$41</c:f>
              <c:strCache>
                <c:ptCount val="1"/>
                <c:pt idx="0">
                  <c:v>Net Profit Margin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Graphs!$B$42:$B$45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Graphs!$D$42:$D$45</c:f>
              <c:numCache>
                <c:formatCode>General</c:formatCode>
                <c:ptCount val="4"/>
                <c:pt idx="0">
                  <c:v>5.8</c:v>
                </c:pt>
                <c:pt idx="1">
                  <c:v>6</c:v>
                </c:pt>
                <c:pt idx="2">
                  <c:v>6.2</c:v>
                </c:pt>
                <c:pt idx="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FF-47F5-B05B-77234C626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207120"/>
        <c:axId val="844212880"/>
      </c:lineChart>
      <c:catAx>
        <c:axId val="84420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1573665791776002"/>
              <c:y val="0.869286049169278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12880"/>
        <c:crosses val="autoZero"/>
        <c:auto val="1"/>
        <c:lblAlgn val="ctr"/>
        <c:lblOffset val="100"/>
        <c:noMultiLvlLbl val="0"/>
      </c:catAx>
      <c:valAx>
        <c:axId val="84421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Net Profit Margin 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0.15542053579585721"/>
              <c:y val="0.205829153735744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071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4882e4-ef4a-4e53-b75e-1db6c3e3cfa6}"/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Return on Investment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Graphs!$E$41</c:f>
              <c:strCache>
                <c:ptCount val="1"/>
                <c:pt idx="0">
                  <c:v>Return on Investment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Graphs!$B$42:$B$45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Graphs!$E$42:$E$45</c:f>
              <c:numCache>
                <c:formatCode>General</c:formatCode>
                <c:ptCount val="4"/>
                <c:pt idx="0">
                  <c:v>6.4</c:v>
                </c:pt>
                <c:pt idx="1">
                  <c:v>6.2</c:v>
                </c:pt>
                <c:pt idx="2">
                  <c:v>6.5</c:v>
                </c:pt>
                <c:pt idx="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60-4F6B-AD5B-292738E50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211440"/>
        <c:axId val="844216240"/>
      </c:lineChart>
      <c:catAx>
        <c:axId val="84421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31681102362205"/>
              <c:y val="0.87348698780216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16240"/>
        <c:crosses val="autoZero"/>
        <c:auto val="1"/>
        <c:lblAlgn val="ctr"/>
        <c:lblOffset val="100"/>
        <c:noMultiLvlLbl val="0"/>
      </c:catAx>
      <c:valAx>
        <c:axId val="84421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Return on Investment 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0.15965153489870235"/>
              <c:y val="0.134178824627616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114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12a24b2-de57-44fc-bac5-8b07ca17f7d0}"/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Return on Equity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Graphs!$F$41</c:f>
              <c:strCache>
                <c:ptCount val="1"/>
                <c:pt idx="0">
                  <c:v>Return on Equity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Graphs!$B$42:$B$45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Graphs!$F$42:$F$45</c:f>
              <c:numCache>
                <c:formatCode>General</c:formatCode>
                <c:ptCount val="4"/>
                <c:pt idx="0">
                  <c:v>16.5</c:v>
                </c:pt>
                <c:pt idx="1">
                  <c:v>15.8</c:v>
                </c:pt>
                <c:pt idx="2">
                  <c:v>16.899999999999999</c:v>
                </c:pt>
                <c:pt idx="3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D4-43CB-B492-9A5341365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238800"/>
        <c:axId val="844251280"/>
      </c:lineChart>
      <c:catAx>
        <c:axId val="844238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6791960333648261"/>
              <c:y val="0.89325081182823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51280"/>
        <c:crosses val="autoZero"/>
        <c:auto val="1"/>
        <c:lblAlgn val="ctr"/>
        <c:lblOffset val="100"/>
        <c:noMultiLvlLbl val="0"/>
      </c:catAx>
      <c:valAx>
        <c:axId val="84425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Return on Equity 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0.14693146317975958"/>
              <c:y val="0.193726543814462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38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e62a185-6223-47c1-bc37-9e6612efd98d}"/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471054</xdr:colOff>
      <xdr:row>38</xdr:row>
      <xdr:rowOff>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58690" cy="684892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38</xdr:row>
      <xdr:rowOff>134027</xdr:rowOff>
    </xdr:from>
    <xdr:to>
      <xdr:col>8</xdr:col>
      <xdr:colOff>471055</xdr:colOff>
      <xdr:row>76</xdr:row>
      <xdr:rowOff>135346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78172"/>
          <a:ext cx="5458691" cy="6845465"/>
        </a:xfrm>
        <a:prstGeom prst="rect">
          <a:avLst/>
        </a:prstGeom>
      </xdr:spPr>
    </xdr:pic>
    <xdr:clientData/>
  </xdr:twoCellAnchor>
  <xdr:twoCellAnchor editAs="oneCell">
    <xdr:from>
      <xdr:col>18</xdr:col>
      <xdr:colOff>193964</xdr:colOff>
      <xdr:row>0</xdr:row>
      <xdr:rowOff>0</xdr:rowOff>
    </xdr:from>
    <xdr:to>
      <xdr:col>27</xdr:col>
      <xdr:colOff>595744</xdr:colOff>
      <xdr:row>38</xdr:row>
      <xdr:rowOff>81497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1055" y="0"/>
          <a:ext cx="6012871" cy="6925642"/>
        </a:xfrm>
        <a:prstGeom prst="rect">
          <a:avLst/>
        </a:prstGeom>
      </xdr:spPr>
    </xdr:pic>
    <xdr:clientData/>
  </xdr:twoCellAnchor>
  <xdr:twoCellAnchor editAs="oneCell">
    <xdr:from>
      <xdr:col>18</xdr:col>
      <xdr:colOff>193964</xdr:colOff>
      <xdr:row>39</xdr:row>
      <xdr:rowOff>27697</xdr:rowOff>
    </xdr:from>
    <xdr:to>
      <xdr:col>28</xdr:col>
      <xdr:colOff>0</xdr:colOff>
      <xdr:row>79</xdr:row>
      <xdr:rowOff>42179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1055" y="7051952"/>
          <a:ext cx="6040581" cy="7218845"/>
        </a:xfrm>
        <a:prstGeom prst="rect">
          <a:avLst/>
        </a:prstGeom>
      </xdr:spPr>
    </xdr:pic>
    <xdr:clientData/>
  </xdr:twoCellAnchor>
  <xdr:twoCellAnchor editAs="oneCell">
    <xdr:from>
      <xdr:col>8</xdr:col>
      <xdr:colOff>594360</xdr:colOff>
      <xdr:row>0</xdr:row>
      <xdr:rowOff>0</xdr:rowOff>
    </xdr:from>
    <xdr:to>
      <xdr:col>17</xdr:col>
      <xdr:colOff>609600</xdr:colOff>
      <xdr:row>37</xdr:row>
      <xdr:rowOff>175260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2120" y="0"/>
          <a:ext cx="6057900" cy="6941820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39</xdr:row>
      <xdr:rowOff>22860</xdr:rowOff>
    </xdr:from>
    <xdr:to>
      <xdr:col>17</xdr:col>
      <xdr:colOff>601980</xdr:colOff>
      <xdr:row>76</xdr:row>
      <xdr:rowOff>29922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9280" y="7155180"/>
          <a:ext cx="5913120" cy="6773622"/>
        </a:xfrm>
        <a:prstGeom prst="rect">
          <a:avLst/>
        </a:prstGeom>
      </xdr:spPr>
    </xdr:pic>
    <xdr:clientData/>
  </xdr:twoCellAnchor>
  <xdr:twoCellAnchor editAs="oneCell">
    <xdr:from>
      <xdr:col>28</xdr:col>
      <xdr:colOff>221673</xdr:colOff>
      <xdr:row>0</xdr:row>
      <xdr:rowOff>0</xdr:rowOff>
    </xdr:from>
    <xdr:to>
      <xdr:col>37</xdr:col>
      <xdr:colOff>387927</xdr:colOff>
      <xdr:row>37</xdr:row>
      <xdr:rowOff>166255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163309" y="0"/>
          <a:ext cx="5777345" cy="6830291"/>
        </a:xfrm>
        <a:prstGeom prst="rect">
          <a:avLst/>
        </a:prstGeom>
      </xdr:spPr>
    </xdr:pic>
    <xdr:clientData/>
  </xdr:twoCellAnchor>
  <xdr:twoCellAnchor editAs="oneCell">
    <xdr:from>
      <xdr:col>28</xdr:col>
      <xdr:colOff>277091</xdr:colOff>
      <xdr:row>39</xdr:row>
      <xdr:rowOff>42084</xdr:rowOff>
    </xdr:from>
    <xdr:to>
      <xdr:col>37</xdr:col>
      <xdr:colOff>374072</xdr:colOff>
      <xdr:row>76</xdr:row>
      <xdr:rowOff>58338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18727" y="7066339"/>
          <a:ext cx="5708072" cy="6680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402165</xdr:colOff>
      <xdr:row>2</xdr:row>
      <xdr:rowOff>52916</xdr:rowOff>
    </xdr:from>
    <xdr:to>
      <xdr:col>7</xdr:col>
      <xdr:colOff>1259415</xdr:colOff>
      <xdr:row>3</xdr:row>
      <xdr:rowOff>158749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538335" y="427990"/>
          <a:ext cx="3585210" cy="4940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RATIOS CALCULATION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391583</xdr:colOff>
      <xdr:row>0</xdr:row>
      <xdr:rowOff>0</xdr:rowOff>
    </xdr:from>
    <xdr:to>
      <xdr:col>17</xdr:col>
      <xdr:colOff>137583</xdr:colOff>
      <xdr:row>16</xdr:row>
      <xdr:rowOff>21167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587065</xdr:colOff>
      <xdr:row>0</xdr:row>
      <xdr:rowOff>31750</xdr:rowOff>
    </xdr:from>
    <xdr:to>
      <xdr:col>27</xdr:col>
      <xdr:colOff>592666</xdr:colOff>
      <xdr:row>16</xdr:row>
      <xdr:rowOff>52916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391582</xdr:colOff>
      <xdr:row>18</xdr:row>
      <xdr:rowOff>129853</xdr:rowOff>
    </xdr:from>
    <xdr:to>
      <xdr:col>17</xdr:col>
      <xdr:colOff>116416</xdr:colOff>
      <xdr:row>35</xdr:row>
      <xdr:rowOff>107157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23465</xdr:colOff>
      <xdr:row>18</xdr:row>
      <xdr:rowOff>127000</xdr:rowOff>
    </xdr:from>
    <xdr:to>
      <xdr:col>27</xdr:col>
      <xdr:colOff>613832</xdr:colOff>
      <xdr:row>35</xdr:row>
      <xdr:rowOff>59532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533642</xdr:colOff>
      <xdr:row>18</xdr:row>
      <xdr:rowOff>148166</xdr:rowOff>
    </xdr:from>
    <xdr:to>
      <xdr:col>37</xdr:col>
      <xdr:colOff>518583</xdr:colOff>
      <xdr:row>35</xdr:row>
      <xdr:rowOff>23813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377065</xdr:colOff>
      <xdr:row>37</xdr:row>
      <xdr:rowOff>110612</xdr:rowOff>
    </xdr:from>
    <xdr:to>
      <xdr:col>17</xdr:col>
      <xdr:colOff>122904</xdr:colOff>
      <xdr:row>54</xdr:row>
      <xdr:rowOff>35719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404155</xdr:colOff>
      <xdr:row>57</xdr:row>
      <xdr:rowOff>80730</xdr:rowOff>
    </xdr:from>
    <xdr:to>
      <xdr:col>17</xdr:col>
      <xdr:colOff>177553</xdr:colOff>
      <xdr:row>75</xdr:row>
      <xdr:rowOff>89647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250447</xdr:colOff>
      <xdr:row>57</xdr:row>
      <xdr:rowOff>59952</xdr:rowOff>
    </xdr:from>
    <xdr:to>
      <xdr:col>27</xdr:col>
      <xdr:colOff>533918</xdr:colOff>
      <xdr:row>75</xdr:row>
      <xdr:rowOff>85531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557369</xdr:colOff>
      <xdr:row>57</xdr:row>
      <xdr:rowOff>52938</xdr:rowOff>
    </xdr:from>
    <xdr:to>
      <xdr:col>38</xdr:col>
      <xdr:colOff>181428</xdr:colOff>
      <xdr:row>75</xdr:row>
      <xdr:rowOff>99784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39</xdr:col>
      <xdr:colOff>167003</xdr:colOff>
      <xdr:row>57</xdr:row>
      <xdr:rowOff>115197</xdr:rowOff>
    </xdr:from>
    <xdr:to>
      <xdr:col>48</xdr:col>
      <xdr:colOff>191933</xdr:colOff>
      <xdr:row>75</xdr:row>
      <xdr:rowOff>158032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326926</xdr:colOff>
      <xdr:row>81</xdr:row>
      <xdr:rowOff>86368</xdr:rowOff>
    </xdr:from>
    <xdr:to>
      <xdr:col>17</xdr:col>
      <xdr:colOff>194236</xdr:colOff>
      <xdr:row>99</xdr:row>
      <xdr:rowOff>74706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234846</xdr:colOff>
      <xdr:row>81</xdr:row>
      <xdr:rowOff>103713</xdr:rowOff>
    </xdr:from>
    <xdr:to>
      <xdr:col>28</xdr:col>
      <xdr:colOff>0</xdr:colOff>
      <xdr:row>99</xdr:row>
      <xdr:rowOff>89647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561171</xdr:colOff>
      <xdr:row>81</xdr:row>
      <xdr:rowOff>109478</xdr:rowOff>
    </xdr:from>
    <xdr:to>
      <xdr:col>38</xdr:col>
      <xdr:colOff>94592</xdr:colOff>
      <xdr:row>99</xdr:row>
      <xdr:rowOff>74706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39</xdr:col>
      <xdr:colOff>77706</xdr:colOff>
      <xdr:row>81</xdr:row>
      <xdr:rowOff>128504</xdr:rowOff>
    </xdr:from>
    <xdr:to>
      <xdr:col>48</xdr:col>
      <xdr:colOff>254000</xdr:colOff>
      <xdr:row>98</xdr:row>
      <xdr:rowOff>176654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</xdr:colOff>
      <xdr:row>1</xdr:row>
      <xdr:rowOff>91440</xdr:rowOff>
    </xdr:from>
    <xdr:to>
      <xdr:col>24</xdr:col>
      <xdr:colOff>310444</xdr:colOff>
      <xdr:row>47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870286" y="270181"/>
          <a:ext cx="13341491" cy="813063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 i="1" u="sng">
              <a:solidFill>
                <a:schemeClr val="accent5">
                  <a:lumMod val="50000"/>
                </a:schemeClr>
              </a:solidFill>
              <a:latin typeface="+mn-lt"/>
              <a:cs typeface="Times New Roman" panose="02020603050405020304" pitchFamily="18" charset="0"/>
            </a:rPr>
            <a:t>ANALYSIS</a:t>
          </a:r>
        </a:p>
        <a:p>
          <a:endParaRPr lang="en-US" sz="1600" b="1" u="sng">
            <a:latin typeface="+mn-lt"/>
            <a:cs typeface="Times New Roman" panose="02020603050405020304" pitchFamily="18" charset="0"/>
          </a:endParaRPr>
        </a:p>
        <a:p>
          <a:endParaRPr lang="en-US" sz="1600" b="1" u="sng">
            <a:latin typeface="+mn-lt"/>
            <a:cs typeface="Times New Roman" panose="02020603050405020304" pitchFamily="18" charset="0"/>
          </a:endParaRPr>
        </a:p>
        <a:p>
          <a:r>
            <a:rPr lang="en-US" sz="1600" b="1" u="none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Liquidity Ratios</a:t>
          </a:r>
          <a:r>
            <a:rPr lang="en-US" sz="1600" b="1" u="none" baseline="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</a:t>
          </a:r>
          <a:r>
            <a:rPr lang="en-US" sz="1600" b="1" u="none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Analysis</a:t>
          </a:r>
        </a:p>
        <a:p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current ratio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increased from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0.99 in 2021 to 1.12 in 2023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showing an improvement in short-term liquidity. However, it slightly dropped to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1.01 in 2024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indicating limited liquid reserves.</a:t>
          </a:r>
          <a:b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</a:b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acid-test ratio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also improved from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0.67 to 0.80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during 2021–2023 but decreased to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0.72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in 2024, suggesting that immediate liquidity weakened slightly at the end.</a:t>
          </a:r>
        </a:p>
        <a:p>
          <a:endParaRPr lang="en-US" sz="1200">
            <a:solidFill>
              <a:sysClr val="windowText" lastClr="000000"/>
            </a:solidFill>
            <a:latin typeface="+mn-lt"/>
            <a:cs typeface="Times New Roman" panose="02020603050405020304" pitchFamily="18" charset="0"/>
          </a:endParaRPr>
        </a:p>
        <a:p>
          <a:r>
            <a:rPr lang="en-US" sz="1600" b="1" u="none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Leverage Ratios Analysis</a:t>
          </a:r>
        </a:p>
        <a:p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debt-to-equity ratio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declined from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1.70 in 2021 to 1.51 in 2022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reflecting reduced reliance on debt, but then rose slightly to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1.54 in 2024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showing moderate financial risk.</a:t>
          </a:r>
          <a:b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</a:b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debt-to-total assets ratio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remained almost stable around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0.59–0.63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indicating a balanced capital structure.</a:t>
          </a:r>
          <a:b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</a:b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total capitalization ratio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decreased from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1.44 to 1.18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till 2023 and rose to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1.27 in 2024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showing mild fluctuations but overall a stable financing pattern.</a:t>
          </a:r>
          <a:br>
            <a:rPr lang="en-US" sz="12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</a:br>
          <a:endParaRPr lang="en-US" sz="1200">
            <a:solidFill>
              <a:sysClr val="windowText" lastClr="000000"/>
            </a:solidFill>
            <a:latin typeface="+mn-lt"/>
            <a:cs typeface="Times New Roman" panose="02020603050405020304" pitchFamily="18" charset="0"/>
          </a:endParaRPr>
        </a:p>
        <a:p>
          <a:r>
            <a:rPr lang="en-US" sz="1600" b="1" u="none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Coverage Ratio</a:t>
          </a:r>
          <a:r>
            <a:rPr lang="en-US" sz="1600" b="1" u="none" baseline="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</a:t>
          </a:r>
          <a:r>
            <a:rPr lang="en-US" sz="1600" b="1" u="none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Analysis</a:t>
          </a:r>
        </a:p>
        <a:p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interest coverage ratio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decreased consistently from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23.32 times in 2021 to 9.41 times in 2024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indicating that the firm’s ability to pay interest from earnings is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gradually weakening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though still sufficient.</a:t>
          </a:r>
        </a:p>
        <a:p>
          <a:endParaRPr lang="en-US" sz="1400" u="sng">
            <a:solidFill>
              <a:sysClr val="windowText" lastClr="000000"/>
            </a:solidFill>
            <a:latin typeface="+mn-lt"/>
            <a:cs typeface="Times New Roman" panose="02020603050405020304" pitchFamily="18" charset="0"/>
          </a:endParaRPr>
        </a:p>
        <a:p>
          <a:r>
            <a:rPr lang="en-US" sz="1600" b="1" u="none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Activity Ratios</a:t>
          </a:r>
          <a:r>
            <a:rPr lang="en-US" sz="1600" b="1" u="none" baseline="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</a:t>
          </a:r>
          <a:r>
            <a:rPr lang="en-US" sz="1600" b="1" u="none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Analysis</a:t>
          </a:r>
        </a:p>
        <a:p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receivable turnover ratio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improved in 2022 (9.55) but declined to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7.41 in 2024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showing that collection of receivables has slowed down.</a:t>
          </a:r>
          <a:b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</a:b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payable turnover ratio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increased slightly from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2.34 to 2.75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meaning payments to creditors are being made more efficiently.</a:t>
          </a:r>
          <a:b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</a:b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inventory turnover ratio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rose from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3.95 to 5.07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in 2023, reflecting better stock utilization, but slightly dropped to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4.83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in 2024.</a:t>
          </a:r>
          <a:b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</a:b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total asset turnover ratio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fell from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1.11 to 0.99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showing a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slight decline in asset efficiency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.</a:t>
          </a:r>
        </a:p>
        <a:p>
          <a:endParaRPr lang="en-US" sz="1200">
            <a:solidFill>
              <a:sysClr val="windowText" lastClr="000000"/>
            </a:solidFill>
            <a:latin typeface="+mn-lt"/>
            <a:cs typeface="Times New Roman" panose="02020603050405020304" pitchFamily="18" charset="0"/>
          </a:endParaRPr>
        </a:p>
        <a:p>
          <a:r>
            <a:rPr lang="en-US" sz="1600" b="1" u="none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Profitability Ratios</a:t>
          </a:r>
          <a:r>
            <a:rPr lang="en-US" sz="1600" b="1" u="none" baseline="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</a:t>
          </a:r>
          <a:r>
            <a:rPr lang="en-US" sz="1600" b="1" u="none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Analysis</a:t>
          </a:r>
        </a:p>
        <a:p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gross profit margin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fell from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30.6% to 26.8%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in 2023 but slightly recovered to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27.2% in 2024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indicating cost pressures.</a:t>
          </a:r>
          <a:b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</a:b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net profit margin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improved from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5.8% to 6.8%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showing better control over overall expenses.</a:t>
          </a:r>
          <a:b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</a:b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return on investment (ROI)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increased from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6.4% to 6.7%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indicating steady returns from assets.</a:t>
          </a:r>
          <a:b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</a:b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return on equity (ROE)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rose from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16.5% to 17.6%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showing stronger profitability for shareholders.</a:t>
          </a:r>
        </a:p>
        <a:p>
          <a:br>
            <a:rPr lang="en-US" sz="12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</a:br>
          <a:r>
            <a:rPr lang="en-US" sz="1600" b="1" i="1" u="sng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Overall Summary:</a:t>
          </a:r>
          <a:br>
            <a:rPr lang="en-US" sz="12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</a:b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The company shows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stable liquidity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moderate leverage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declining interest coverage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, and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steady profitability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with minor fluctuations. Efficiency ratios reveal some slowdown in collections and asset use, but overall performance remains </a:t>
          </a:r>
          <a:r>
            <a:rPr lang="en-US" sz="14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financially sound</a:t>
          </a:r>
          <a:r>
            <a:rPr lang="en-US" sz="140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 with room for improvement in liquidity and coverage.</a:t>
          </a: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4</xdr:row>
      <xdr:rowOff>30480</xdr:rowOff>
    </xdr:from>
    <xdr:to>
      <xdr:col>18</xdr:col>
      <xdr:colOff>342900</xdr:colOff>
      <xdr:row>32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D46969-CB8B-2096-3EBE-9024CF5AA26A}"/>
            </a:ext>
          </a:extLst>
        </xdr:cNvPr>
        <xdr:cNvSpPr txBox="1"/>
      </xdr:nvSpPr>
      <xdr:spPr>
        <a:xfrm>
          <a:off x="2430780" y="762000"/>
          <a:ext cx="8884920" cy="509778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i="1" u="sng">
              <a:solidFill>
                <a:schemeClr val="accent4">
                  <a:lumMod val="50000"/>
                </a:schemeClr>
              </a:solidFill>
            </a:rPr>
            <a:t>Recommendations based on Analyis</a:t>
          </a:r>
        </a:p>
        <a:p>
          <a:pPr algn="ctr"/>
          <a:endParaRPr lang="en-US" sz="1800" b="1" i="1" u="sng"/>
        </a:p>
        <a:p>
          <a:r>
            <a:rPr lang="en-US" sz="1400" b="1"/>
            <a:t>Improve short-term liquidity:</a:t>
          </a:r>
          <a:br>
            <a:rPr lang="en-US"/>
          </a:br>
          <a:r>
            <a:rPr lang="en-US"/>
            <a:t>Haier should keep more cash and other short-term assets so it can easily pay its bills on time. This will make the company safer during tough times.</a:t>
          </a:r>
        </a:p>
        <a:p>
          <a:r>
            <a:rPr lang="en-US" sz="1400" b="1"/>
            <a:t>Increase quick (acid-test) ratio:</a:t>
          </a:r>
          <a:br>
            <a:rPr lang="en-US"/>
          </a:br>
          <a:r>
            <a:rPr lang="en-US"/>
            <a:t>The company should try to keep more ready cash and reduce extra inventory. Selling stock faster or buying only what is needed can help.</a:t>
          </a:r>
        </a:p>
        <a:p>
          <a:r>
            <a:rPr lang="en-US" sz="1400" b="1"/>
            <a:t>Control debt level:</a:t>
          </a:r>
          <a:br>
            <a:rPr lang="en-US"/>
          </a:br>
          <a:r>
            <a:rPr lang="en-US"/>
            <a:t>Haier should avoid taking too many loans. It should slowly reduce its debt using profits so that financial risk stays low.</a:t>
          </a:r>
        </a:p>
        <a:p>
          <a:r>
            <a:rPr lang="en-US" sz="1400" b="1"/>
            <a:t>Increase interest coverage:</a:t>
          </a:r>
          <a:br>
            <a:rPr lang="en-US"/>
          </a:br>
          <a:r>
            <a:rPr lang="en-US"/>
            <a:t>Because the ability to pay interest has gone down, Haier should work on increasing its earnings or lowering loan interest costs.</a:t>
          </a:r>
        </a:p>
        <a:p>
          <a:r>
            <a:rPr lang="en-US" sz="1400" b="1"/>
            <a:t>Collect receivables faster:</a:t>
          </a:r>
          <a:br>
            <a:rPr lang="en-US"/>
          </a:br>
          <a:r>
            <a:rPr lang="en-US"/>
            <a:t>The company should make sure customers pay on time. Giving small discounts for early payments or stricter credit rules can help.</a:t>
          </a:r>
        </a:p>
        <a:p>
          <a:r>
            <a:rPr lang="en-US" sz="1400" b="1"/>
            <a:t>Manage inventory better:</a:t>
          </a:r>
          <a:br>
            <a:rPr lang="en-US"/>
          </a:br>
          <a:r>
            <a:rPr lang="en-US"/>
            <a:t>Haier should keep the right amount of stock — not too much or too little. Using better planning and forecasting tools can help control costs.</a:t>
          </a:r>
        </a:p>
        <a:p>
          <a:r>
            <a:rPr lang="en-US" sz="1400" b="1">
              <a:latin typeface="+mn-lt"/>
            </a:rPr>
            <a:t>Use assets more efficiently:</a:t>
          </a:r>
          <a:br>
            <a:rPr lang="en-US">
              <a:latin typeface="+mn-lt"/>
            </a:rPr>
          </a:br>
          <a:r>
            <a:rPr lang="en-US">
              <a:latin typeface="+mn-lt"/>
            </a:rPr>
            <a:t>The company should make sure all its machines, buildings, and resources are being used properly to generate more sales.</a:t>
          </a:r>
        </a:p>
        <a:p>
          <a:r>
            <a:rPr lang="en-US" sz="1400" b="1">
              <a:latin typeface="+mn-lt"/>
            </a:rPr>
            <a:t>Reduce production costs:</a:t>
          </a:r>
          <a:br>
            <a:rPr lang="en-US">
              <a:latin typeface="+mn-lt"/>
            </a:rPr>
          </a:br>
          <a:r>
            <a:rPr lang="en-US">
              <a:latin typeface="+mn-lt"/>
            </a:rPr>
            <a:t>To increase profit margins, Haier should try to lower production and supply costs by using efficient technology or finding cheaper suppliers.</a:t>
          </a:r>
        </a:p>
        <a:p>
          <a:r>
            <a:rPr lang="en-US" sz="1400" b="1">
              <a:latin typeface="+mn-lt"/>
            </a:rPr>
            <a:t>Keep growing profits:</a:t>
          </a:r>
          <a:br>
            <a:rPr lang="en-US">
              <a:latin typeface="+mn-lt"/>
            </a:rPr>
          </a:br>
          <a:r>
            <a:rPr lang="en-US">
              <a:latin typeface="+mn-lt"/>
            </a:rPr>
            <a:t>Since profits and returns to shareholders are improving, Haier should continue focusing on product quality, innovation, and good customer service to maintain growth.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9843-38CC-4D73-B622-151FD0A9393F}">
  <dimension ref="A1:F14"/>
  <sheetViews>
    <sheetView workbookViewId="0">
      <selection activeCell="K8" sqref="K8"/>
    </sheetView>
  </sheetViews>
  <sheetFormatPr defaultRowHeight="14.4" x14ac:dyDescent="0.25"/>
  <sheetData>
    <row r="1" spans="1:6" ht="31.2" x14ac:dyDescent="0.6">
      <c r="A1" s="111" t="s">
        <v>110</v>
      </c>
      <c r="B1" s="112"/>
      <c r="C1" s="112"/>
      <c r="D1" s="113"/>
      <c r="E1" s="113"/>
      <c r="F1" s="113"/>
    </row>
    <row r="2" spans="1:6" ht="15" x14ac:dyDescent="0.3">
      <c r="A2" s="113"/>
      <c r="B2" s="113"/>
      <c r="C2" s="113"/>
      <c r="D2" s="113"/>
      <c r="E2" s="113"/>
      <c r="F2" s="113"/>
    </row>
    <row r="3" spans="1:6" ht="28.8" x14ac:dyDescent="0.55000000000000004">
      <c r="A3" s="114" t="s">
        <v>101</v>
      </c>
      <c r="B3" s="115"/>
      <c r="C3" s="115"/>
      <c r="D3" s="115"/>
      <c r="E3" s="115"/>
      <c r="F3" s="113"/>
    </row>
    <row r="4" spans="1:6" ht="28.8" x14ac:dyDescent="0.55000000000000004">
      <c r="A4" s="30"/>
      <c r="B4" s="30"/>
      <c r="C4" s="30"/>
      <c r="D4" s="30"/>
      <c r="E4" s="30"/>
    </row>
    <row r="5" spans="1:6" ht="28.8" x14ac:dyDescent="0.55000000000000004">
      <c r="A5" s="110" t="s">
        <v>102</v>
      </c>
      <c r="B5" s="110"/>
      <c r="C5" s="110"/>
      <c r="D5" s="110"/>
      <c r="E5" s="109"/>
      <c r="F5" s="108"/>
    </row>
    <row r="6" spans="1:6" ht="28.8" x14ac:dyDescent="0.55000000000000004">
      <c r="A6" s="109"/>
      <c r="B6" s="109" t="s">
        <v>103</v>
      </c>
      <c r="C6" s="109"/>
      <c r="D6" s="109"/>
      <c r="E6" s="109"/>
      <c r="F6" s="108"/>
    </row>
    <row r="7" spans="1:6" ht="28.8" x14ac:dyDescent="0.55000000000000004">
      <c r="A7" s="109"/>
      <c r="B7" s="109" t="s">
        <v>107</v>
      </c>
      <c r="C7" s="109"/>
      <c r="D7" s="109"/>
      <c r="E7" s="109"/>
      <c r="F7" s="108"/>
    </row>
    <row r="8" spans="1:6" ht="28.8" x14ac:dyDescent="0.55000000000000004">
      <c r="A8" s="109"/>
      <c r="B8" s="109" t="s">
        <v>104</v>
      </c>
      <c r="C8" s="109"/>
      <c r="D8" s="109"/>
      <c r="E8" s="109"/>
      <c r="F8" s="108"/>
    </row>
    <row r="9" spans="1:6" ht="28.8" x14ac:dyDescent="0.55000000000000004">
      <c r="A9" s="109"/>
      <c r="B9" s="109"/>
      <c r="C9" s="109"/>
      <c r="D9" s="109"/>
      <c r="E9" s="109"/>
      <c r="F9" s="108"/>
    </row>
    <row r="10" spans="1:6" ht="28.8" x14ac:dyDescent="0.55000000000000004">
      <c r="A10" s="110" t="s">
        <v>105</v>
      </c>
      <c r="B10" s="110"/>
      <c r="C10" s="110"/>
      <c r="D10" s="110"/>
      <c r="E10" s="109"/>
      <c r="F10" s="108"/>
    </row>
    <row r="11" spans="1:6" ht="28.8" x14ac:dyDescent="0.55000000000000004">
      <c r="A11" s="109"/>
      <c r="B11" s="109" t="s">
        <v>106</v>
      </c>
      <c r="C11" s="109"/>
      <c r="D11" s="109"/>
      <c r="E11" s="109"/>
      <c r="F11" s="108"/>
    </row>
    <row r="12" spans="1:6" ht="28.8" x14ac:dyDescent="0.55000000000000004">
      <c r="A12" s="109"/>
      <c r="B12" s="109"/>
      <c r="C12" s="109"/>
      <c r="D12" s="109"/>
      <c r="E12" s="109"/>
      <c r="F12" s="108"/>
    </row>
    <row r="13" spans="1:6" ht="28.8" x14ac:dyDescent="0.55000000000000004">
      <c r="A13" s="116" t="s">
        <v>109</v>
      </c>
    </row>
    <row r="14" spans="1:6" ht="28.8" x14ac:dyDescent="0.55000000000000004">
      <c r="B14" s="10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82" zoomScaleNormal="55" workbookViewId="0">
      <selection activeCell="AM40" sqref="AM40"/>
    </sheetView>
  </sheetViews>
  <sheetFormatPr defaultColWidth="9" defaultRowHeight="14.4" x14ac:dyDescent="0.25"/>
  <cols>
    <col min="10" max="10" width="16.10937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3:J42"/>
  <sheetViews>
    <sheetView topLeftCell="D1" zoomScale="76" zoomScaleNormal="100" workbookViewId="0">
      <selection activeCell="F50" sqref="F50"/>
    </sheetView>
  </sheetViews>
  <sheetFormatPr defaultColWidth="9" defaultRowHeight="14.4" x14ac:dyDescent="0.25"/>
  <cols>
    <col min="3" max="4" width="8.88671875" customWidth="1"/>
    <col min="5" max="5" width="38.33203125" customWidth="1"/>
    <col min="6" max="6" width="59.109375" customWidth="1"/>
    <col min="7" max="8" width="39.77734375" customWidth="1"/>
    <col min="9" max="9" width="41.109375" customWidth="1"/>
    <col min="10" max="10" width="59" customWidth="1"/>
  </cols>
  <sheetData>
    <row r="3" spans="5:10" ht="30.6" x14ac:dyDescent="0.45">
      <c r="E3" s="16"/>
      <c r="F3" s="2"/>
      <c r="G3" s="17"/>
      <c r="H3" s="2"/>
      <c r="I3" s="2"/>
      <c r="J3" s="3"/>
    </row>
    <row r="4" spans="5:10" x14ac:dyDescent="0.25">
      <c r="E4" s="18"/>
      <c r="F4" s="19"/>
      <c r="G4" s="19"/>
      <c r="H4" s="19"/>
      <c r="I4" s="19"/>
      <c r="J4" s="26"/>
    </row>
    <row r="5" spans="5:10" ht="22.2" x14ac:dyDescent="0.25">
      <c r="E5" s="31" t="s">
        <v>0</v>
      </c>
      <c r="F5" s="32"/>
      <c r="G5" s="32"/>
      <c r="H5" s="32"/>
      <c r="I5" s="32"/>
      <c r="J5" s="33"/>
    </row>
    <row r="6" spans="5:10" x14ac:dyDescent="0.25">
      <c r="E6" s="34"/>
      <c r="F6" s="35"/>
      <c r="G6" s="35"/>
      <c r="H6" s="35"/>
      <c r="I6" s="35"/>
      <c r="J6" s="36"/>
    </row>
    <row r="7" spans="5:10" ht="17.399999999999999" x14ac:dyDescent="0.25">
      <c r="E7" s="105" t="s">
        <v>1</v>
      </c>
      <c r="F7" s="106" t="s">
        <v>2</v>
      </c>
      <c r="G7" s="106">
        <v>2021</v>
      </c>
      <c r="H7" s="106">
        <v>2022</v>
      </c>
      <c r="I7" s="106">
        <v>2023</v>
      </c>
      <c r="J7" s="107">
        <v>2024</v>
      </c>
    </row>
    <row r="8" spans="5:10" ht="17.399999999999999" x14ac:dyDescent="0.25">
      <c r="E8" s="37" t="s">
        <v>3</v>
      </c>
      <c r="F8" s="38" t="s">
        <v>4</v>
      </c>
      <c r="G8" s="39" t="s">
        <v>5</v>
      </c>
      <c r="H8" s="39" t="s">
        <v>6</v>
      </c>
      <c r="I8" s="39" t="s">
        <v>7</v>
      </c>
      <c r="J8" s="40" t="s">
        <v>8</v>
      </c>
    </row>
    <row r="9" spans="5:10" ht="34.799999999999997" x14ac:dyDescent="0.25">
      <c r="E9" s="37" t="s">
        <v>9</v>
      </c>
      <c r="F9" s="38" t="s">
        <v>10</v>
      </c>
      <c r="G9" s="39" t="s">
        <v>11</v>
      </c>
      <c r="H9" s="39" t="s">
        <v>12</v>
      </c>
      <c r="I9" s="39" t="s">
        <v>13</v>
      </c>
      <c r="J9" s="40" t="s">
        <v>14</v>
      </c>
    </row>
    <row r="10" spans="5:10" x14ac:dyDescent="0.25">
      <c r="E10" s="20"/>
      <c r="F10" s="21"/>
      <c r="G10" s="21"/>
      <c r="H10" s="21"/>
      <c r="I10" s="21"/>
      <c r="J10" s="27"/>
    </row>
    <row r="11" spans="5:10" x14ac:dyDescent="0.25">
      <c r="E11" s="22"/>
      <c r="F11" s="23"/>
      <c r="G11" s="23"/>
      <c r="H11" s="23"/>
      <c r="I11" s="23"/>
      <c r="J11" s="28"/>
    </row>
    <row r="12" spans="5:10" ht="22.2" x14ac:dyDescent="0.25">
      <c r="E12" s="41" t="s">
        <v>15</v>
      </c>
      <c r="F12" s="42"/>
      <c r="G12" s="42"/>
      <c r="H12" s="42"/>
      <c r="I12" s="42"/>
      <c r="J12" s="43"/>
    </row>
    <row r="13" spans="5:10" x14ac:dyDescent="0.25">
      <c r="E13" s="44"/>
      <c r="F13" s="45"/>
      <c r="G13" s="45"/>
      <c r="H13" s="45"/>
      <c r="I13" s="45"/>
      <c r="J13" s="46"/>
    </row>
    <row r="14" spans="5:10" ht="18" x14ac:dyDescent="0.25">
      <c r="E14" s="93" t="s">
        <v>1</v>
      </c>
      <c r="F14" s="94" t="s">
        <v>2</v>
      </c>
      <c r="G14" s="94">
        <v>2021</v>
      </c>
      <c r="H14" s="94">
        <v>2022</v>
      </c>
      <c r="I14" s="94">
        <v>2023</v>
      </c>
      <c r="J14" s="95">
        <v>2024</v>
      </c>
    </row>
    <row r="15" spans="5:10" ht="34.799999999999997" x14ac:dyDescent="0.25">
      <c r="E15" s="47" t="s">
        <v>16</v>
      </c>
      <c r="F15" s="48" t="s">
        <v>17</v>
      </c>
      <c r="G15" s="49" t="s">
        <v>18</v>
      </c>
      <c r="H15" s="50" t="s">
        <v>19</v>
      </c>
      <c r="I15" s="50" t="s">
        <v>20</v>
      </c>
      <c r="J15" s="51" t="s">
        <v>21</v>
      </c>
    </row>
    <row r="16" spans="5:10" ht="34.799999999999997" x14ac:dyDescent="0.25">
      <c r="E16" s="47" t="s">
        <v>22</v>
      </c>
      <c r="F16" s="48" t="s">
        <v>23</v>
      </c>
      <c r="G16" s="50" t="s">
        <v>24</v>
      </c>
      <c r="H16" s="50" t="s">
        <v>25</v>
      </c>
      <c r="I16" s="50" t="s">
        <v>26</v>
      </c>
      <c r="J16" s="51" t="s">
        <v>27</v>
      </c>
    </row>
    <row r="17" spans="5:10" ht="34.799999999999997" x14ac:dyDescent="0.25">
      <c r="E17" s="52" t="s">
        <v>28</v>
      </c>
      <c r="F17" s="53" t="s">
        <v>29</v>
      </c>
      <c r="G17" s="54" t="s">
        <v>30</v>
      </c>
      <c r="H17" s="54" t="s">
        <v>31</v>
      </c>
      <c r="I17" s="54" t="s">
        <v>32</v>
      </c>
      <c r="J17" s="55" t="s">
        <v>33</v>
      </c>
    </row>
    <row r="18" spans="5:10" x14ac:dyDescent="0.25">
      <c r="E18" s="24"/>
      <c r="F18" s="25"/>
      <c r="G18" s="25"/>
      <c r="H18" s="25"/>
      <c r="I18" s="25"/>
      <c r="J18" s="29"/>
    </row>
    <row r="19" spans="5:10" x14ac:dyDescent="0.25">
      <c r="E19" s="18"/>
      <c r="F19" s="19"/>
      <c r="G19" s="19"/>
      <c r="H19" s="19"/>
      <c r="I19" s="19"/>
      <c r="J19" s="26"/>
    </row>
    <row r="20" spans="5:10" ht="22.2" x14ac:dyDescent="0.25">
      <c r="E20" s="56" t="s">
        <v>34</v>
      </c>
      <c r="F20" s="57"/>
      <c r="G20" s="57"/>
      <c r="H20" s="57"/>
      <c r="I20" s="57"/>
      <c r="J20" s="58"/>
    </row>
    <row r="21" spans="5:10" x14ac:dyDescent="0.25">
      <c r="E21" s="59"/>
      <c r="F21" s="60"/>
      <c r="G21" s="60"/>
      <c r="H21" s="60"/>
      <c r="I21" s="60"/>
      <c r="J21" s="61"/>
    </row>
    <row r="22" spans="5:10" ht="17.399999999999999" x14ac:dyDescent="0.25">
      <c r="E22" s="96" t="s">
        <v>1</v>
      </c>
      <c r="F22" s="97" t="s">
        <v>2</v>
      </c>
      <c r="G22" s="97">
        <v>2021</v>
      </c>
      <c r="H22" s="97">
        <v>2022</v>
      </c>
      <c r="I22" s="97">
        <v>2023</v>
      </c>
      <c r="J22" s="98">
        <v>2024</v>
      </c>
    </row>
    <row r="23" spans="5:10" ht="17.399999999999999" x14ac:dyDescent="0.25">
      <c r="E23" s="62" t="s">
        <v>35</v>
      </c>
      <c r="F23" s="63" t="s">
        <v>36</v>
      </c>
      <c r="G23" s="64" t="s">
        <v>37</v>
      </c>
      <c r="H23" s="64" t="s">
        <v>38</v>
      </c>
      <c r="I23" s="64" t="s">
        <v>39</v>
      </c>
      <c r="J23" s="65" t="s">
        <v>40</v>
      </c>
    </row>
    <row r="24" spans="5:10" x14ac:dyDescent="0.25">
      <c r="E24" s="24"/>
      <c r="F24" s="25"/>
      <c r="G24" s="25"/>
      <c r="H24" s="25"/>
      <c r="I24" s="25"/>
      <c r="J24" s="29"/>
    </row>
    <row r="25" spans="5:10" x14ac:dyDescent="0.25">
      <c r="E25" s="18"/>
      <c r="F25" s="19"/>
      <c r="G25" s="19"/>
      <c r="H25" s="19"/>
      <c r="I25" s="19"/>
      <c r="J25" s="26"/>
    </row>
    <row r="26" spans="5:10" ht="22.2" x14ac:dyDescent="0.25">
      <c r="E26" s="66" t="s">
        <v>41</v>
      </c>
      <c r="F26" s="67"/>
      <c r="G26" s="67"/>
      <c r="H26" s="67"/>
      <c r="I26" s="67"/>
      <c r="J26" s="76"/>
    </row>
    <row r="27" spans="5:10" x14ac:dyDescent="0.25">
      <c r="E27" s="68"/>
      <c r="F27" s="69"/>
      <c r="G27" s="69"/>
      <c r="H27" s="69"/>
      <c r="I27" s="69"/>
      <c r="J27" s="77"/>
    </row>
    <row r="28" spans="5:10" ht="17.399999999999999" x14ac:dyDescent="0.25">
      <c r="E28" s="99" t="s">
        <v>1</v>
      </c>
      <c r="F28" s="100" t="s">
        <v>2</v>
      </c>
      <c r="G28" s="100">
        <v>2021</v>
      </c>
      <c r="H28" s="100">
        <v>2022</v>
      </c>
      <c r="I28" s="100">
        <v>2023</v>
      </c>
      <c r="J28" s="101">
        <v>2024</v>
      </c>
    </row>
    <row r="29" spans="5:10" ht="17.399999999999999" x14ac:dyDescent="0.25">
      <c r="E29" s="70" t="s">
        <v>42</v>
      </c>
      <c r="F29" s="71" t="s">
        <v>43</v>
      </c>
      <c r="G29" s="72" t="s">
        <v>44</v>
      </c>
      <c r="H29" s="72" t="s">
        <v>45</v>
      </c>
      <c r="I29" s="72" t="s">
        <v>46</v>
      </c>
      <c r="J29" s="78" t="s">
        <v>47</v>
      </c>
    </row>
    <row r="30" spans="5:10" ht="17.399999999999999" x14ac:dyDescent="0.25">
      <c r="E30" s="70" t="s">
        <v>48</v>
      </c>
      <c r="F30" s="71" t="s">
        <v>49</v>
      </c>
      <c r="G30" s="72" t="s">
        <v>50</v>
      </c>
      <c r="H30" s="72" t="s">
        <v>51</v>
      </c>
      <c r="I30" s="72" t="s">
        <v>52</v>
      </c>
      <c r="J30" s="78" t="s">
        <v>53</v>
      </c>
    </row>
    <row r="31" spans="5:10" ht="17.399999999999999" x14ac:dyDescent="0.25">
      <c r="E31" s="70" t="s">
        <v>54</v>
      </c>
      <c r="F31" s="71" t="s">
        <v>55</v>
      </c>
      <c r="G31" s="72" t="s">
        <v>56</v>
      </c>
      <c r="H31" s="72" t="s">
        <v>57</v>
      </c>
      <c r="I31" s="72" t="s">
        <v>58</v>
      </c>
      <c r="J31" s="78" t="s">
        <v>59</v>
      </c>
    </row>
    <row r="32" spans="5:10" ht="17.399999999999999" x14ac:dyDescent="0.25">
      <c r="E32" s="73" t="s">
        <v>60</v>
      </c>
      <c r="F32" s="74" t="s">
        <v>61</v>
      </c>
      <c r="G32" s="75" t="s">
        <v>62</v>
      </c>
      <c r="H32" s="75" t="s">
        <v>63</v>
      </c>
      <c r="I32" s="75" t="s">
        <v>64</v>
      </c>
      <c r="J32" s="79" t="s">
        <v>65</v>
      </c>
    </row>
    <row r="33" spans="5:10" x14ac:dyDescent="0.25">
      <c r="E33" s="24"/>
      <c r="F33" s="25"/>
      <c r="G33" s="25"/>
      <c r="H33" s="25"/>
      <c r="I33" s="25"/>
      <c r="J33" s="29"/>
    </row>
    <row r="34" spans="5:10" x14ac:dyDescent="0.25">
      <c r="E34" s="18"/>
      <c r="F34" s="19"/>
      <c r="G34" s="19"/>
      <c r="H34" s="19"/>
      <c r="I34" s="19"/>
      <c r="J34" s="26"/>
    </row>
    <row r="35" spans="5:10" ht="22.2" x14ac:dyDescent="0.25">
      <c r="E35" s="80" t="s">
        <v>66</v>
      </c>
      <c r="F35" s="81"/>
      <c r="G35" s="81"/>
      <c r="H35" s="81"/>
      <c r="I35" s="81"/>
      <c r="J35" s="82"/>
    </row>
    <row r="36" spans="5:10" x14ac:dyDescent="0.25">
      <c r="E36" s="83"/>
      <c r="F36" s="84"/>
      <c r="G36" s="84"/>
      <c r="H36" s="84"/>
      <c r="I36" s="84"/>
      <c r="J36" s="85"/>
    </row>
    <row r="37" spans="5:10" ht="17.399999999999999" x14ac:dyDescent="0.25">
      <c r="E37" s="102" t="s">
        <v>1</v>
      </c>
      <c r="F37" s="103" t="s">
        <v>2</v>
      </c>
      <c r="G37" s="103">
        <v>2021</v>
      </c>
      <c r="H37" s="103">
        <v>2022</v>
      </c>
      <c r="I37" s="103">
        <v>2023</v>
      </c>
      <c r="J37" s="104">
        <v>2024</v>
      </c>
    </row>
    <row r="38" spans="5:10" ht="17.399999999999999" x14ac:dyDescent="0.25">
      <c r="E38" s="86" t="s">
        <v>67</v>
      </c>
      <c r="F38" s="87" t="s">
        <v>68</v>
      </c>
      <c r="G38" s="87" t="s">
        <v>69</v>
      </c>
      <c r="H38" s="88" t="s">
        <v>70</v>
      </c>
      <c r="I38" s="88" t="s">
        <v>71</v>
      </c>
      <c r="J38" s="89" t="s">
        <v>72</v>
      </c>
    </row>
    <row r="39" spans="5:10" ht="17.399999999999999" x14ac:dyDescent="0.25">
      <c r="E39" s="86" t="s">
        <v>73</v>
      </c>
      <c r="F39" s="87" t="s">
        <v>74</v>
      </c>
      <c r="G39" s="88" t="s">
        <v>75</v>
      </c>
      <c r="H39" s="88" t="s">
        <v>76</v>
      </c>
      <c r="I39" s="88" t="s">
        <v>77</v>
      </c>
      <c r="J39" s="89" t="s">
        <v>78</v>
      </c>
    </row>
    <row r="40" spans="5:10" ht="17.399999999999999" x14ac:dyDescent="0.25">
      <c r="E40" s="86" t="s">
        <v>79</v>
      </c>
      <c r="F40" s="87" t="s">
        <v>80</v>
      </c>
      <c r="G40" s="88" t="s">
        <v>81</v>
      </c>
      <c r="H40" s="88" t="s">
        <v>82</v>
      </c>
      <c r="I40" s="88" t="s">
        <v>83</v>
      </c>
      <c r="J40" s="89" t="s">
        <v>84</v>
      </c>
    </row>
    <row r="41" spans="5:10" ht="17.399999999999999" x14ac:dyDescent="0.25">
      <c r="E41" s="86" t="s">
        <v>85</v>
      </c>
      <c r="F41" s="87" t="s">
        <v>86</v>
      </c>
      <c r="G41" s="88" t="s">
        <v>87</v>
      </c>
      <c r="H41" s="88" t="s">
        <v>88</v>
      </c>
      <c r="I41" s="88" t="s">
        <v>89</v>
      </c>
      <c r="J41" s="89" t="s">
        <v>90</v>
      </c>
    </row>
    <row r="42" spans="5:10" x14ac:dyDescent="0.25">
      <c r="E42" s="90"/>
      <c r="F42" s="91"/>
      <c r="G42" s="91"/>
      <c r="H42" s="91"/>
      <c r="I42" s="91"/>
      <c r="J42" s="9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F45"/>
  <sheetViews>
    <sheetView topLeftCell="G1" zoomScale="60" zoomScaleNormal="60" workbookViewId="0">
      <selection activeCell="T41" sqref="T41"/>
    </sheetView>
  </sheetViews>
  <sheetFormatPr defaultColWidth="9" defaultRowHeight="14.4" x14ac:dyDescent="0.25"/>
  <cols>
    <col min="2" max="2" width="37.109375" customWidth="1"/>
    <col min="3" max="3" width="27.77734375" customWidth="1"/>
    <col min="4" max="4" width="27.44140625" customWidth="1"/>
    <col min="5" max="5" width="26.77734375" customWidth="1"/>
    <col min="6" max="6" width="23.5546875" customWidth="1"/>
  </cols>
  <sheetData>
    <row r="3" spans="2:5" ht="22.2" x14ac:dyDescent="0.25">
      <c r="B3" s="1" t="s">
        <v>91</v>
      </c>
      <c r="C3" s="2"/>
      <c r="D3" s="3"/>
    </row>
    <row r="4" spans="2:5" x14ac:dyDescent="0.25">
      <c r="B4" s="4"/>
      <c r="C4" s="5"/>
      <c r="D4" s="6"/>
    </row>
    <row r="5" spans="2:5" x14ac:dyDescent="0.25">
      <c r="B5" s="7" t="s">
        <v>92</v>
      </c>
      <c r="C5" s="8" t="s">
        <v>3</v>
      </c>
      <c r="D5" s="9" t="s">
        <v>9</v>
      </c>
    </row>
    <row r="6" spans="2:5" x14ac:dyDescent="0.25">
      <c r="B6" s="10">
        <v>2021</v>
      </c>
      <c r="C6" s="11">
        <v>0.99</v>
      </c>
      <c r="D6" s="12">
        <v>0.67</v>
      </c>
    </row>
    <row r="7" spans="2:5" x14ac:dyDescent="0.25">
      <c r="B7" s="10">
        <v>2022</v>
      </c>
      <c r="C7" s="11">
        <v>1.0900000000000001</v>
      </c>
      <c r="D7" s="12">
        <v>0.74</v>
      </c>
    </row>
    <row r="8" spans="2:5" x14ac:dyDescent="0.25">
      <c r="B8" s="10">
        <v>2023</v>
      </c>
      <c r="C8" s="11">
        <v>1.1200000000000001</v>
      </c>
      <c r="D8" s="12">
        <v>0.8</v>
      </c>
    </row>
    <row r="9" spans="2:5" x14ac:dyDescent="0.25">
      <c r="B9" s="13">
        <v>2024</v>
      </c>
      <c r="C9" s="14">
        <v>1.01</v>
      </c>
      <c r="D9" s="15">
        <v>0.72</v>
      </c>
    </row>
    <row r="12" spans="2:5" ht="22.2" x14ac:dyDescent="0.25">
      <c r="B12" s="1" t="s">
        <v>93</v>
      </c>
      <c r="C12" s="2"/>
      <c r="D12" s="2"/>
      <c r="E12" s="3"/>
    </row>
    <row r="13" spans="2:5" x14ac:dyDescent="0.25">
      <c r="B13" s="4"/>
      <c r="C13" s="5"/>
      <c r="D13" s="5"/>
      <c r="E13" s="6"/>
    </row>
    <row r="14" spans="2:5" ht="28.8" x14ac:dyDescent="0.25">
      <c r="B14" s="7" t="s">
        <v>92</v>
      </c>
      <c r="C14" s="8" t="s">
        <v>16</v>
      </c>
      <c r="D14" s="8" t="s">
        <v>22</v>
      </c>
      <c r="E14" s="9" t="s">
        <v>28</v>
      </c>
    </row>
    <row r="15" spans="2:5" x14ac:dyDescent="0.25">
      <c r="B15" s="10">
        <v>2021</v>
      </c>
      <c r="C15" s="11">
        <v>1.7</v>
      </c>
      <c r="D15" s="11">
        <v>0.63</v>
      </c>
      <c r="E15" s="12">
        <v>1.44</v>
      </c>
    </row>
    <row r="16" spans="2:5" x14ac:dyDescent="0.25">
      <c r="B16" s="10">
        <v>2022</v>
      </c>
      <c r="C16" s="11">
        <v>1.51</v>
      </c>
      <c r="D16" s="11">
        <v>0.6</v>
      </c>
      <c r="E16" s="12">
        <v>1.25</v>
      </c>
    </row>
    <row r="17" spans="2:6" x14ac:dyDescent="0.25">
      <c r="B17" s="10">
        <v>2023</v>
      </c>
      <c r="C17" s="11">
        <v>1.52</v>
      </c>
      <c r="D17" s="11">
        <v>0.59</v>
      </c>
      <c r="E17" s="12">
        <v>1.18</v>
      </c>
    </row>
    <row r="18" spans="2:6" x14ac:dyDescent="0.25">
      <c r="B18" s="13">
        <v>2024</v>
      </c>
      <c r="C18" s="14">
        <v>1.54</v>
      </c>
      <c r="D18" s="14">
        <v>0.59</v>
      </c>
      <c r="E18" s="15">
        <v>1.27</v>
      </c>
    </row>
    <row r="21" spans="2:6" ht="22.2" x14ac:dyDescent="0.25">
      <c r="B21" s="1" t="s">
        <v>94</v>
      </c>
      <c r="C21" s="3"/>
    </row>
    <row r="22" spans="2:6" x14ac:dyDescent="0.25">
      <c r="B22" s="4"/>
      <c r="C22" s="6"/>
    </row>
    <row r="23" spans="2:6" x14ac:dyDescent="0.25">
      <c r="B23" s="7" t="s">
        <v>92</v>
      </c>
      <c r="C23" s="9" t="s">
        <v>35</v>
      </c>
    </row>
    <row r="24" spans="2:6" x14ac:dyDescent="0.25">
      <c r="B24" s="10">
        <v>2021</v>
      </c>
      <c r="C24" s="12">
        <v>23.32</v>
      </c>
    </row>
    <row r="25" spans="2:6" x14ac:dyDescent="0.25">
      <c r="B25" s="10">
        <v>2022</v>
      </c>
      <c r="C25" s="12">
        <v>18.88</v>
      </c>
    </row>
    <row r="26" spans="2:6" x14ac:dyDescent="0.25">
      <c r="B26" s="10">
        <v>2023</v>
      </c>
      <c r="C26" s="12">
        <v>10.33</v>
      </c>
    </row>
    <row r="27" spans="2:6" x14ac:dyDescent="0.25">
      <c r="B27" s="13">
        <v>2024</v>
      </c>
      <c r="C27" s="15">
        <v>9.41</v>
      </c>
    </row>
    <row r="30" spans="2:6" ht="22.2" x14ac:dyDescent="0.25">
      <c r="B30" s="1" t="s">
        <v>95</v>
      </c>
      <c r="C30" s="2"/>
      <c r="D30" s="2"/>
      <c r="E30" s="2"/>
      <c r="F30" s="3"/>
    </row>
    <row r="31" spans="2:6" x14ac:dyDescent="0.25">
      <c r="B31" s="4"/>
      <c r="C31" s="5"/>
      <c r="D31" s="5"/>
      <c r="E31" s="5"/>
      <c r="F31" s="6"/>
    </row>
    <row r="32" spans="2:6" x14ac:dyDescent="0.25">
      <c r="B32" s="7" t="s">
        <v>92</v>
      </c>
      <c r="C32" s="8" t="s">
        <v>42</v>
      </c>
      <c r="D32" s="8" t="s">
        <v>48</v>
      </c>
      <c r="E32" s="8" t="s">
        <v>54</v>
      </c>
      <c r="F32" s="9" t="s">
        <v>60</v>
      </c>
    </row>
    <row r="33" spans="2:6" x14ac:dyDescent="0.25">
      <c r="B33" s="10">
        <v>2021</v>
      </c>
      <c r="C33" s="11">
        <v>8.1199999999999992</v>
      </c>
      <c r="D33" s="11">
        <v>2.34</v>
      </c>
      <c r="E33" s="11">
        <v>3.95</v>
      </c>
      <c r="F33" s="12">
        <v>1.1100000000000001</v>
      </c>
    </row>
    <row r="34" spans="2:6" x14ac:dyDescent="0.25">
      <c r="B34" s="10">
        <v>2022</v>
      </c>
      <c r="C34" s="11">
        <v>9.5500000000000007</v>
      </c>
      <c r="D34" s="11">
        <v>2.52</v>
      </c>
      <c r="E34" s="11">
        <v>4.07</v>
      </c>
      <c r="F34" s="12">
        <v>1.03</v>
      </c>
    </row>
    <row r="35" spans="2:6" x14ac:dyDescent="0.25">
      <c r="B35" s="10">
        <v>2023</v>
      </c>
      <c r="C35" s="11">
        <v>8.7100000000000009</v>
      </c>
      <c r="D35" s="11">
        <v>2.78</v>
      </c>
      <c r="E35" s="11">
        <v>5.07</v>
      </c>
      <c r="F35" s="12">
        <v>1.05</v>
      </c>
    </row>
    <row r="36" spans="2:6" x14ac:dyDescent="0.25">
      <c r="B36" s="13">
        <v>2024</v>
      </c>
      <c r="C36" s="14">
        <v>7.41</v>
      </c>
      <c r="D36" s="14">
        <v>2.75</v>
      </c>
      <c r="E36" s="14">
        <v>4.83</v>
      </c>
      <c r="F36" s="15">
        <v>0.99</v>
      </c>
    </row>
    <row r="39" spans="2:6" ht="22.2" x14ac:dyDescent="0.25">
      <c r="B39" s="1" t="s">
        <v>96</v>
      </c>
      <c r="C39" s="2"/>
      <c r="D39" s="2"/>
      <c r="E39" s="2"/>
      <c r="F39" s="3"/>
    </row>
    <row r="40" spans="2:6" x14ac:dyDescent="0.25">
      <c r="B40" s="4"/>
      <c r="C40" s="5"/>
      <c r="D40" s="5"/>
      <c r="E40" s="5"/>
      <c r="F40" s="6"/>
    </row>
    <row r="41" spans="2:6" ht="28.8" x14ac:dyDescent="0.25">
      <c r="B41" s="7" t="s">
        <v>92</v>
      </c>
      <c r="C41" s="8" t="s">
        <v>97</v>
      </c>
      <c r="D41" s="8" t="s">
        <v>98</v>
      </c>
      <c r="E41" s="8" t="s">
        <v>99</v>
      </c>
      <c r="F41" s="9" t="s">
        <v>100</v>
      </c>
    </row>
    <row r="42" spans="2:6" x14ac:dyDescent="0.25">
      <c r="B42" s="10">
        <v>2021</v>
      </c>
      <c r="C42" s="11">
        <v>30.6</v>
      </c>
      <c r="D42" s="11">
        <v>5.8</v>
      </c>
      <c r="E42" s="11">
        <v>6.4</v>
      </c>
      <c r="F42" s="12">
        <v>16.5</v>
      </c>
    </row>
    <row r="43" spans="2:6" x14ac:dyDescent="0.25">
      <c r="B43" s="10">
        <v>2022</v>
      </c>
      <c r="C43" s="11">
        <v>30.6</v>
      </c>
      <c r="D43" s="11">
        <v>6</v>
      </c>
      <c r="E43" s="11">
        <v>6.2</v>
      </c>
      <c r="F43" s="12">
        <v>15.8</v>
      </c>
    </row>
    <row r="44" spans="2:6" x14ac:dyDescent="0.25">
      <c r="B44" s="10">
        <v>2023</v>
      </c>
      <c r="C44" s="11">
        <v>26.8</v>
      </c>
      <c r="D44" s="11">
        <v>6.2</v>
      </c>
      <c r="E44" s="11">
        <v>6.5</v>
      </c>
      <c r="F44" s="12">
        <v>16.899999999999999</v>
      </c>
    </row>
    <row r="45" spans="2:6" x14ac:dyDescent="0.25">
      <c r="B45" s="13">
        <v>2024</v>
      </c>
      <c r="C45" s="14">
        <v>27.2</v>
      </c>
      <c r="D45" s="14">
        <v>6.8</v>
      </c>
      <c r="E45" s="14">
        <v>6.7</v>
      </c>
      <c r="F45" s="15">
        <v>17.600000000000001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81" zoomScaleNormal="81" workbookViewId="0">
      <selection activeCell="Y18" sqref="Y18"/>
    </sheetView>
  </sheetViews>
  <sheetFormatPr defaultColWidth="9" defaultRowHeight="14.4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03D1-01AD-4B95-AD14-A4FBC13BD62B}">
  <dimension ref="A1"/>
  <sheetViews>
    <sheetView tabSelected="1" topLeftCell="A3" workbookViewId="0">
      <selection activeCell="W9" sqref="W9"/>
    </sheetView>
  </sheetViews>
  <sheetFormatPr defaultRowHeight="14.4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 pg</vt:lpstr>
      <vt:lpstr>Financial Info Haier</vt:lpstr>
      <vt:lpstr>Ratios Cal Haier</vt:lpstr>
      <vt:lpstr>Graphs</vt:lpstr>
      <vt:lpstr>Analysis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FA24-BBD-031(HAMNAH FATIMA KHAN)</dc:creator>
  <cp:lastModifiedBy>FA24-BBD-031(HAMNAH FATIMA KHAN)</cp:lastModifiedBy>
  <dcterms:created xsi:type="dcterms:W3CDTF">2025-10-26T11:18:00Z</dcterms:created>
  <dcterms:modified xsi:type="dcterms:W3CDTF">2025-10-27T16:02:15Z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EA19355180234217B16EE5EC703DA485_12</vt:lpwstr>
  </property>
  <property fmtid="{D5CDD505-2E9C-101B-9397-08002B2CF9AE}" pid="3" name="KSOProductBuildVer">
    <vt:lpwstr>1033-12.2.0.23131</vt:lpwstr>
  </property>
</Properties>
</file>